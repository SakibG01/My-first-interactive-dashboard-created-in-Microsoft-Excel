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G:\12\"/>
    </mc:Choice>
  </mc:AlternateContent>
  <xr:revisionPtr revIDLastSave="0" documentId="13_ncr:1_{145B102B-6283-45EA-8924-F18B523D68D6}" xr6:coauthVersionLast="47" xr6:coauthVersionMax="47" xr10:uidLastSave="{00000000-0000-0000-0000-000000000000}"/>
  <bookViews>
    <workbookView xWindow="-120" yWindow="-120" windowWidth="29040" windowHeight="15990" xr2:uid="{4F13487C-3C53-4386-A342-4D44F385F485}"/>
  </bookViews>
  <sheets>
    <sheet name="Dashboard" sheetId="6" r:id="rId1"/>
    <sheet name="Calculation" sheetId="5" r:id="rId2"/>
    <sheet name="Raw Data" sheetId="1" r:id="rId3"/>
  </sheets>
  <definedNames>
    <definedName name="_xlchart.v5.0" hidden="1">Calculation!$D$11</definedName>
    <definedName name="_xlchart.v5.1" hidden="1">Calculation!$D$12:$D$16</definedName>
    <definedName name="_xlchart.v5.2" hidden="1">Calculation!$E$11</definedName>
    <definedName name="_xlchart.v5.3" hidden="1">Calculation!$E$12:$E$16</definedName>
    <definedName name="_xlchart.v5.4" hidden="1">Calculation!$D$11</definedName>
    <definedName name="_xlchart.v5.5" hidden="1">Calculation!$D$12:$D$16</definedName>
    <definedName name="_xlchart.v5.6" hidden="1">Calculation!$E$11</definedName>
    <definedName name="_xlchart.v5.7" hidden="1">Calculation!$E$12:$E$16</definedName>
    <definedName name="Slicer_Name">#N/A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3" i="5" l="1"/>
  <c r="E13" i="5"/>
  <c r="D14" i="5"/>
  <c r="E14" i="5"/>
  <c r="D15" i="5"/>
  <c r="E15" i="5"/>
  <c r="D16" i="5"/>
  <c r="E16" i="5"/>
  <c r="E12" i="5"/>
  <c r="D12" i="5"/>
</calcChain>
</file>

<file path=xl/sharedStrings.xml><?xml version="1.0" encoding="utf-8"?>
<sst xmlns="http://schemas.openxmlformats.org/spreadsheetml/2006/main" count="698" uniqueCount="68">
  <si>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</si>
  <si>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</si>
  <si>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</si>
  <si>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</si>
  <si>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</si>
  <si>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</si>
  <si>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</si>
  <si>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</si>
  <si>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</si>
  <si>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</si>
  <si>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</si>
  <si>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</si>
  <si>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</si>
  <si>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</si>
  <si>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</si>
  <si>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</si>
  <si>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</si>
  <si>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</si>
  <si>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</si>
  <si>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</si>
  <si>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</si>
  <si>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</si>
  <si>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</si>
  <si>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</si>
  <si>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</si>
  <si>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</si>
  <si>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</si>
  <si>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</si>
  <si>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</si>
  <si>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</si>
  <si>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</si>
  <si>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Row Labels</t>
  </si>
  <si>
    <t>Grand Total</t>
  </si>
  <si>
    <t>Name</t>
  </si>
  <si>
    <t>Region</t>
  </si>
  <si>
    <t>Date</t>
  </si>
  <si>
    <t>Total Calls</t>
  </si>
  <si>
    <t>Calls Reached</t>
  </si>
  <si>
    <t>Average Duration (sec)</t>
  </si>
  <si>
    <t>Deals Closed</t>
  </si>
  <si>
    <t>Call Conversion Rate (%)</t>
  </si>
  <si>
    <t>Deal Value ($)</t>
  </si>
  <si>
    <t>Service Level</t>
  </si>
  <si>
    <t>Call Drop Rate (%)</t>
  </si>
  <si>
    <t>Sum of Deal Value ($)</t>
  </si>
  <si>
    <t>Values</t>
  </si>
  <si>
    <t xml:space="preserve"> Total Calls</t>
  </si>
  <si>
    <t xml:space="preserve"> Calls Reached</t>
  </si>
  <si>
    <t xml:space="preserve"> Deals Closed</t>
  </si>
  <si>
    <t xml:space="preserve"> Deal Value ($)</t>
  </si>
  <si>
    <t>Total Business Update</t>
  </si>
  <si>
    <t>Average of Service Level</t>
  </si>
  <si>
    <t>Jan</t>
  </si>
  <si>
    <t>Feb</t>
  </si>
  <si>
    <t>Mar</t>
  </si>
  <si>
    <t>Apr</t>
  </si>
  <si>
    <t>May</t>
  </si>
  <si>
    <t>Jun</t>
  </si>
  <si>
    <t>Jul</t>
  </si>
  <si>
    <t>Aug</t>
  </si>
  <si>
    <t>Sep</t>
  </si>
  <si>
    <t>Oct</t>
  </si>
  <si>
    <t>Nov</t>
  </si>
  <si>
    <t>Dec</t>
  </si>
  <si>
    <t>Performance by Month</t>
  </si>
  <si>
    <t>Service Level By Division</t>
  </si>
  <si>
    <t>Sales Dashboard</t>
  </si>
  <si>
    <t>Evalution of sales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</si>
</sst>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6" formatCode="_(* #,##0_);_(* \(#,##0\);_(* &quot;-&quot;??_);_(@_)"/>
    <numFmt numFmtId="168" formatCode="_(&quot;$&quot;* #,##0_);_(&quot;$&quot;* \(#,##0\);_(&quot;$&quot;* &quot;-&quot;??_);_(@_)"/>
  </numFmts>
  <fonts count="4" x14ac:knownFonts="1">
    <font>
      <sz val="11"/>
      <color theme="1"/>
      <name val="Aptos Narrow"/>
      <family val="2"/>
      <scheme val="minor"/>
    </font>
    <font>
      <b/>
      <sz val="11"/>
      <color theme="1"/>
      <name val="Aptos Narrow"/>
      <family val="2"/>
      <scheme val="minor"/>
    </font>
    <font>
      <b/>
      <sz val="36"/>
      <color theme="0"/>
      <name val="Algerian"/>
      <family val="5"/>
    </font>
    <font>
      <b/>
      <i/>
      <sz val="16"/>
      <color theme="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0" tint="-0.499984740745262"/>
        <bgColor indexed="64"/>
      </patternFill>
    </fill>
    <fill>
      <patternFill patternType="solid">
        <fgColor theme="1" tint="4.9989318521683403E-2"/>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43" fontId="0" fillId="0" borderId="0" xfId="0" applyNumberFormat="1"/>
    <xf numFmtId="166" fontId="0" fillId="0" borderId="0" xfId="0" applyNumberFormat="1"/>
    <xf numFmtId="168" fontId="0" fillId="0" borderId="0" xfId="0" applyNumberFormat="1"/>
    <xf numFmtId="0" fontId="1" fillId="0" borderId="0" xfId="0" applyFont="1"/>
    <xf numFmtId="0" fontId="0" fillId="2" borderId="0" xfId="0" applyFill="1"/>
    <xf numFmtId="0" fontId="0" fillId="3" borderId="0" xfId="0" applyFill="1"/>
    <xf numFmtId="0" fontId="0" fillId="4" borderId="0" xfId="0" applyFill="1"/>
    <xf numFmtId="0" fontId="2" fillId="4" borderId="0" xfId="0" applyFont="1" applyFill="1"/>
    <xf numFmtId="0" fontId="3" fillId="4" borderId="0" xfId="0" applyFont="1" applyFill="1" applyAlignment="1">
      <alignment horizontal="center" vertical="center"/>
    </xf>
  </cellXfs>
  <cellStyles count="1">
    <cellStyle name="Normal" xfId="0" builtinId="0"/>
  </cellStyles>
  <dxfs count="373">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35" formatCode="_(* #,##0.00_);_(* \(#,##0.00\);_(* &quot;-&quot;??_);_(@_)"/>
    </dxf>
    <dxf>
      <numFmt numFmtId="35" formatCode="_(* #,##0.00_);_(* \(#,##0.00\);_(* &quot;-&quot;??_);_(@_)"/>
    </dxf>
    <dxf>
      <numFmt numFmtId="166" formatCode="_(* #,##0_);_(* \(#,##0\);_(* &quot;-&quot;??_);_(@_)"/>
    </dxf>
    <dxf>
      <numFmt numFmtId="166" formatCode="_(* #,##0_);_(* \(#,##0\);_(* &quot;-&quot;??_);_(@_)"/>
    </dxf>
    <dxf>
      <numFmt numFmtId="168" formatCode="_(&quot;$&quot;* #,##0_);_(&quot;$&quot;* \(#,##0\);_(&quot;$&quot;* &quot;-&quot;??_);_(@_)"/>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alignment vertical="center"/>
    </dxf>
    <dxf>
      <alignment vertical="center"/>
    </dxf>
    <dxf>
      <alignment horizontal="center"/>
    </dxf>
    <dxf>
      <alignment horizontal="center"/>
    </dxf>
    <dxf>
      <numFmt numFmtId="35" formatCode="_(* #,##0.00_);_(* \(#,##0.00\);_(* &quot;-&quot;??_);_(@_)"/>
    </dxf>
    <dxf>
      <numFmt numFmtId="166" formatCode="_(* #,##0_);_(* \(#,##0\);_(* &quot;-&quot;??_);_(@_)"/>
    </dxf>
    <dxf>
      <numFmt numFmtId="166" formatCode="_(* #,##0_);_(* \(#,##0\);_(* &quot;-&quot;??_);_(@_)"/>
    </dxf>
    <dxf>
      <numFmt numFmtId="35" formatCode="_(* #,##0.00_);_(* \(#,##0.00\);_(* &quot;-&quot;??_);_(@_)"/>
    </dxf>
    <dxf>
      <numFmt numFmtId="35" formatCode="_(* #,##0.00_);_(* \(#,##0.00\);_(* &quot;-&quot;??_);_(@_)"/>
    </dxf>
    <dxf>
      <numFmt numFmtId="168" formatCode="_(&quot;$&quot;* #,##0_);_(&quot;$&quot;* \(#,##0\);_(&quot;$&quot;* &quot;-&quot;??_);_(@_)"/>
    </dxf>
    <dxf>
      <numFmt numFmtId="166" formatCode="_(* #,##0_);_(* \(#,##0\);_(* &quot;-&quot;??_);_(@_)"/>
    </dxf>
    <dxf>
      <numFmt numFmtId="13" formatCode="0%"/>
    </dxf>
    <dxf>
      <numFmt numFmtId="13" formatCode="0%"/>
    </dxf>
    <dxf>
      <numFmt numFmtId="19" formatCode="m/d/yyyy"/>
    </dxf>
  </dxfs>
  <tableStyles count="0" defaultTableStyle="TableStyleMedium2" defaultPivotStyle="PivotStyleLight16"/>
  <colors>
    <mruColors>
      <color rgb="FF9900FF"/>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[1st Dashboard.xlsx]Calculation!PivotTable3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Deals by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Calculation!$B$21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Calculation!$A$22:$A$34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Calculation!$B$22:$B$34</c:f>
              <c:numCache>
                <c:formatCode>_(* #,##0.00_);_(* \(#,##0.00\);_(* "-"??_);_(@_)</c:formatCode>
                <c:ptCount val="12"/>
                <c:pt idx="0">
                  <c:v>53586.86</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6854-4609-99F0-074F8A7F9E19}"/>
            </c:ext>
          </c:extLst>
        </c:ser>
        <c:dLbls>
          <c:dLblPos val="ctr"/>
          <c:showLegendKey val="0"/>
          <c:showVal val="1"/>
          <c:showCatName val="0"/>
          <c:showSerName val="0"/>
          <c:showPercent val="0"/>
          <c:showBubbleSize val="0"/>
        </c:dLbls>
        <c:gapWidth val="150"/>
        <c:overlap val="100"/>
        <c:axId val="1438686768"/>
        <c:axId val="1438685328"/>
      </c:barChart>
      <c:catAx>
        <c:axId val="1438686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685328"/>
        <c:crosses val="autoZero"/>
        <c:auto val="1"/>
        <c:lblAlgn val="ctr"/>
        <c:lblOffset val="100"/>
        <c:noMultiLvlLbl val="0"/>
      </c:catAx>
      <c:valAx>
        <c:axId val="1438685328"/>
        <c:scaling>
          <c:orientation val="minMax"/>
        </c:scaling>
        <c:delete val="1"/>
        <c:axPos val="b"/>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crossAx val="143868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Garamond" panose="02020404030301010803" pitchFamily="18" charset="0"/>
            </a:rPr>
            <a:t>Service Level by Division</a:t>
          </a:r>
        </a:p>
      </cx:txPr>
    </cx:title>
    <cx:plotArea>
      <cx:plotAreaRegion>
        <cx:series layoutId="regionMap" uniqueId="{AD60C982-DF4E-45C5-86CC-66969088CD82}">
          <cx:dataLabels>
            <cx:visibility seriesName="0" categoryName="1" value="1"/>
            <cx:separator>, </cx:separator>
          </cx:dataLabels>
          <cx:dataId val="0"/>
          <cx:layoutPr>
            <cx:geography cultureLanguage="en-US" cultureRegion="US" attribution="Powered by Bing">
              <cx:geoCache provider="{E9337A44-BEBE-4D9F-B70C-5C5E7DAFC167}">
                <cx:binary>1HrJctxItuWvpGndroTP7mWVtXAgRk4iKVHDBkZSEuCYBwfgwO79W39Y36CkFBnJojrNqp/1y0Vm
MhAI9zufe+79573/x33x5bb7zZdF1f/j3v/xKnWu+cfvv/f36Zfytn9d2vuu7uuv7vV9Xf5ef/1q
77/8/rm7nWyV/E4CzH6/T28798W/+tc/4deSL/VpfX/rbF1dDl+6+epLPxSuf+HZs49+u/1c2iqy
vevsvcN/vDK3ne1vi1e/famcdfPbufnyx6snX3r12+/HP/WXY38r4GZu+AzvEvKaUS4EJVh/++fV
b0VdJd8f6+A1oVQQSb8/lj+OPr8t4fWH+/zv/3rxQg/Xuf38ufvS9yDQw38fv/nk+o8f3NdD5Q66
S0CNhwdVUtx+/tKnr36zfR1+exrWBzFM9CD3709V/69/Hn0Amjj65JF1jtX2q0d/Mc4VXLAZuh8a
+g8Yh79WlAZBgOVzxlH6x1HfjPH9/N8iO9oeVPbj6XMXed4of/2FI+P89Qv/ASM9Ndpj5wT5uSaE
/fA+EPiRcyr9GgeEEs4Y6Oigph8S/8/Wx5GL/r912jC1zt0mEPI/lPecu/z9pCIxlYI9n1Twa6UI
5UzSb259lFTC9Na5Ouluy5eu9LwHP373yHcfP/oPeO1/q5Wi9Da/fUkbf9NA7HUghVRS8ycRBeke
E8y5xt8jivw481tE/fIazxvl+2tH9vj+6f80U1zPRfrF/dDLfyBY2GuJOQmCfxssQgisKJPfktxR
sPz6Os/b5Md7R0b58fH/71Z54X6PodGTr/1daERfK8looPn3NPW0+hygEQdkpLT6lsXUD5/4AY1+
wpV/f6XnjWMeQZ0nIvx3oKCjxPYIBv0JJKNbd7t6QKD/108fBAVYfPTqS0D2m9Z2n/94hQUWAIQw
e2TCww99f/ubwn+47rOvfbnt3R+vNKBdzQBQcAbASisGPzh9eXgSvNYYU4ox5EUuFYbMV9WdSwEi
89cEYIYEICKEYhwCsK+HhyeHNBpoFQQSvoGZYn+i/zd1MUNR/VNj3//+rRrKN7WtXP/HK8og+Tbf
vncQUqpABFpC1RRYco6VFPD8/vYKWgz4Ov5ffTssZTZny9Yvc3tqfZm9G9NgPrE8szs8ymwjU5uv
0ylBYafm+H0ZY7kVTSvfxRMa3otJiGhomsokleDjqgV5Vpmb1BgOIkmjvMxUmMZpG7ae1usR2cSg
3PkIB/RSB5nLjZxkvZ0xaY1H8TYWy/2SLeVgfKOGC+br1Iha2ct81otZuriP2mSmF30v9tM00LD2
LF+hSeqIl8xfcr/oczRPOhR+qNa88iSKl4lTg2wmWyNUkOwJRu1pXzfjKh5Q/DFYJm8SVUzO2MpO
qzzLbZjZsbwJgoxsfKrf+SCvQg8vbytdwg8kvb9ORH9DJJ9NlzG1KeIlu5JFR09ckMVpOLvmbKxy
t0mr7G2N89nEHtkty/C4F4h1F5XFzbphybSLe1KsMBqKC8IRirjwzSoJSPNmyYkdTIkw22Vt3Z51
VZWe5mXM1j5Y5E4mtMFhP07liseyuOZTO9q1bGN96knGT4cg+FpP3L/ljY4r4/AwGq8FDqVOnTU6
8cmapWpaB6QVu3poxo0t7Qetxnad6ClbL7K7FUhn1wwEjqzCrXFVwnZYDdYkictDrAQ2tV4GsDyv
z7uF05W08kQGxT6oExt2zVLsSqtdKNBQmYFN1Ykqm3NrQTMdTaK51eWmQsyaSvhsTTAlt6UN4tWU
ou68yRG9VQse3+jOzaZy2Bmfi+miS3MczrOAn1ym91M9tvvcZm86NcXr3LbZJ8mD4YOYSn9WVyM2
aWd3fExP2iVNVziZq3WFab7W1F8yOX/qMHycVW0NR6g6EmM7rCUiw6psEncqWKtCX4xojUvBdt0y
N+ulGzsZeozFp3gA/xYE5xcEF81mbvm2LRzeJa6ODdaiiUgq+k+JL4bUqD6w3crRUa9wP0+XeYZW
Is2s6QQvTxOX3M89+uh6zm9bN3+Jp/rCdXFz5aaYhnMxNx+5kH5Du6zYpKntQtLwblMNvjZUZ+Mu
10McFoRPq1Ki9HPp2g5uXUxgeYjHZsqKVRtX8T7LY79a+jo3zdDjiPZddtovon2TEj9DkHZdE2Ke
4atGzdlKNH6IBrhrbGIVjx/TccovGsvcjixewG/XPornefhslbC7wifzzdLRfk2mKRsNJ6ON0ELd
ScM6+7YqK5wbwZHdiEC026LxKgLHKE4zP8SfSCfLXdUID0mFdEM4Cfh2gHW8WhK8ROnM5Wma1b41
SrE+bObYrUss67O4HXEeqdxXnxGrk9LYNnV7tEi+ra1Lv/KSxIFhFV15urCobWcZzYqOYRskpDBD
m6h10fv+ZOBFk5nEFtwsQd3tmnSx676VaytVuuvJ0O2FA1+hmCx7G7fZvkaC7hOMy6ibRHmFafJh
1N11l+dik83TedCw/NLTMtuIQXdh7MZk3VFRRqLqmNG6SkJk2y0V9qPEDJl4cuRONzJfTD7Qy0zL
FTh1BhrxvDa4EDcxdyjElboSyThv57JCYT4mpynNzhZVX7RV844tfoerSUexK/pQaSYhqeb+pq2W
Jlq0zMKqqdu1Q4Hc065lG1rizNhOJXstCrdjmt7zZpjLdYkaHDV9Vp4Ey6DeoL5vz0QxDucqbbut
0IvqDW8nG/Wo9OHQUrSqSNWYIqmni7pFxYmQI2sNxrbedSn21w3Kps3cB2g1Dl13Ptp5NQ2L6QPv
IGmT94Uusveq7JYNL5LkIuELuUJVK6h5TMs8qYn3dTN3Nkm/k2J//vmvsx9M2wNV8/PzA632869/
+60Devnzaz9b5wNa+JP8OcIg38i5fwNQXnz4BL08AWo/sOChsBP6Emx5jPV+QpfDO39iFq4lAwpO
KCxYIACZfMMsSr0OCESVkAwACBEc8MIPzCJeC6IJYFesGCUAKH6CFvwaM04BtBxoSywC8ndAywGS
PIIsTAD2hd+HXh4DNhIH2PQYspQJmUWKtN0uWc3WvZ+zTZJSGYqlKjYJzdn6kW6eAUlw7yfnQRNE
Aw4gTAFGo0ofnVdRnPdjVSXbOVY+ZLiP37IxLXfzMmZns0qDU1IU8Te3/MY7PXPoES47dF4UBwJD
F6YgMDHY5rGQpFfTMNYs2bqWo9O+yNMIV+D8CP73F/JBT3EsHwOwyQllARCvApqKx0dVYzcvjSB2
Ow9ldqoXhqI00MzEQZ6vO8yZsU72m4f/S1UwvXtZvUfHAwLFKiAcqDSFoRYCoH1yPM/ZMhVcddvc
DYOZipKuXb2gNyTt0WzauluMcik7z6xq7yqq+s3L5+MjVcMFCMUcM8kOQBgc++kF8mnk8SBwu42H
g5FzT94NPbKf8tGWUGzsMpm4S9lJQ9ooKdph05YVd2HiibDh6Hp8LcXgNwoP04dppkUSvXzBI39/
uB+BwIEuggNnHhzdz9YcmPUiaLetSgdTlNUY9dyLrSpGv3JJhd68fB4GDvOxQxwOVDxQmEutVMD4
kcOjzik3uqHfogWONQwPBBuQDJB9ENfsKq3b7Crr8igP0nhVKuJiKFJyPvV1nrvVy7chR+GnOPTD
9CHjYGiV2HH4lYOsOzTE+XYkPVtM0yW6NqMk/b4lWHpDuzQ7HRtdf7BD81lAI7TpJ7Gs+mJmmRli
lV7RJQ4+sZp01lDfJV1YUctuEjc0u25OfWOSRuIx9A6r2kwKAq6G/HJaVi3alYCPi5AkBVnHYx2f
SVwGn14WkR4s+CijPYioCcNg5UMcHkdg4xyGBs6WW95MCpulansawbDIvys6kYe1bPxNrdssMPOA
9XlQNPm6LcrktBtYv8kBCezqMu7vRszRm8X54rrgQ/DJ61ls5zErrrMcNx9VzeOd7IfsM8WFC+vF
kdthQToxvnJTELZkpDes74PO9NXSn03lCP1coovrl8U9BPRfpJUwAIIGGwdSHeUbNE5xrlBabJdh
YUYMLA/7maPw5VOOowbcBgcQLNAvCM2gaDyNasVzOXi411bmXfIBpeA5set3I3QoX1Qe+L+Xrw8m
xAGHHh4SGcWA9Z8eJ33fpksHx9GyTs7y2kKPSX0I7cX4i3TwTDxAYTiUWHAZIckhnT3q2EtPqoT2
fbGdxiQ5K3Tl32UiKK4X1Pb7gdriusSpvXpZm8dJ+iAeIAHAAlhDCiJH2gReQweFq8qtYy65c9mk
1ErmLURixmtMjUwFvZm1bz7mroAg6qCP/YVBj9P04QocLiGBxYceVR8M/khuNAmZjUHebLtaosjy
oAa/GSo7h4SX8dnL8j7jPWBJBSbVghCNjw4baQbD2jzptg2CvprZCTKtneSmBrRh0sK5+5fPwwen
PwoKYIIIJpDqwG3JUVDUPMgsNML1NmjbZQnZKLlbpbJ2vWGuHstwQfnyBsukilKUxUkUAydyOhNg
BMyYWpXtak70WRXb/m4Q3XBXkmZkJoWmcT1ZgU5j5pqPL1/6WYsAU8w0ZOYgOK7cpBS5IKlqtrNN
uMkRIBNgIaoTnbD27ctHPef0QgkdKJgVEC0OOeWR8Stl274FkQAOdfEZJj0+G3o/7RFp1Z7RvDpJ
6Si2Lx/6jHwUzEGAhtPBgaJ7eugysTYnFaq2nlZsLWkVn81TL7YVj9Hpy0c9E1+UMX0gdzXlkh2b
P53bAkiFehu7Ka3Wpciy05IuagVNU385ODzvCHUuCflQ89NJlckvHP45WeF0zQBbAxLT9KmsA9BJ
E5Ku2pYsAcbJgYR4bvTFYGt9/rKsz7m6wIwpYLml/Au0BYAuDsmy3DKoWXtf0X7fiwVqswoWepOQ
XmaRqpd+j9pfmvQZPWMJUSZgDAVQ90DGPvajVuXFwifRbG0bjBvKYnuVtjNtQy+L+CxbZshddiK+
MHMHfST0r4C2Xhb/OVeG3QYuuZIc/8XUSw/0yah4s2VpILYJEMC7ycXBqrb9ZZkgzE1Bil9humfM
CxmTE0AYWgRSHkE6RSUN2h6SZ5IxfR6jERCdJG2ZRlbE2fplCQ9KPMplMIQlB5paCQld2lMlN9Ah
qXxS9bYFrHZuy+7d2P8SpT5zCAywwFeBw1ZEkSNUXGra8aVMISMkPs4MboCmNCjp879f2EkAdQe4
9sO07FhzRb+MqEFTs/WiZTe57fveNE3gwzGnVfML33gmNAjUUuipYPsCWpIjobp6ykfvHTAqIPGm
TLUlkQ4A0S5ClScpatGbeKhHG05IwOz2z7WcN9/M83gU8Jw+YS1H84OwEjLAU6OhDOqv81W3LXKB
om5kd0DQ+NXLhzzj+1TAqJdLrOVfa7hGQSt9IMttizi44QKgYUl8v0/cBPxaDgSSsTr5FXh5pphD
rGsmQDIoVccN1MJSn85FXG6Rq9hNlc/ojVp8+1bROttmovxVhB+Ik+MAoNDJUg3jGaIBDj7VZcIF
EK6LqLcZpaXY+nmMW5NZlH6FYJDvIDFoZAatp3dLo+I3Gii63qS2HkeT8Kz92jBcXE8ZgS6gq2a5
QY2jKpqn9I4zC9g/526iIcCC1DjVarqiaTtu65b0bwG4NO9fNtozuYMFAIb4ofYCf3NUm6gIeseq
oN6SBqHRNIWgEcwY0HsHo4yLv33WITFCYSBgK+g9n2pOEgVsM8kB3AqURA5PC/DsqN/oAxfx94/S
FCoQTL3gyGOGZQ5aV81kLrYPjEcfSB8GsUIRi9Ns+/JRB+rryCEYtHZAM0DGFxRQzFOxSpugKfAx
BJdPoKN2gk7AF4hmg7si+FQ5svCIdbxeLlwxQ/EZZiU+B2leXPdoqvKwAD97M6txOXWyKQ+8Lh5X
YBIbpjWq716+LTkUg6f5m0EOAqQNdB0kPXFkhJbNPZ9TIETKqUpOmok2t4Us0GnT+7Q3k7XJ3RCk
3VvH22QyOY5RWHdkuUxk2l5kC0vCFAfusqthPlTC+PCqLoYxSoXr98KO6nJSld8EdhqiLhblySRg
xvWyCNBwPU2lwBcAlCIi4DzQBCabx/1f1ndjnpOi2fY14iGZuuFjDFPa0gRN1ZQh69rYmbEX5d0E
eABUnicW+uulncYQmL1Sm9YrZUPV0NaussYzDwNQncI0UyF2kyqLKjMxUuuwroUsN1bSZlXPCwAX
zwrvt7opaLx2LENqncVZMq/EnHe3KVONXeVBs2QGGrehMIwtkhlVn+Q5kpdBnlb7FmbJZzPz8Vky
dm0acp6QiywB1BTOvWyXsFugZ9+0k6vveFpkKKpjYSMn9WTUzBIYimVyH+tcvsPMjUYOQL4vrNYr
1PptTHC/8i2OXRijuri2RYI+qyam4JpZMX6R/XK15NXXANck6me5rFKPjZ1htBQ2IiHQSg/LbeA7
tONZwIzLa3leELSA/GPzli/dZx1Le0YbHWyBUOhLw4B9fJdSXghDi1TsiO7Hs1ahZdgUeFG7uMqK
iyRtiy1BM5hjqmL0tq1n+2EmLeGmDqzYptyjr5z0zUppx0YT5HZ2p9wW+q1taXxRFX0B/sqqekVU
p5qwcQ1fu6bnywotGYuyobGlieXozuoCqiuwD/F4q1uaB+tx5Gnom+lTX3t+B45Qz8bxcv7YeWZ3
fdaiAUYwfb4ZYpoWRsG4blVNPcx8XVU4IGXGj5A7y3vsnd8Bx0ZPi7JobnQyDmbmgzsTlY4Tk5O8
ARtN6W3J4utejje6LMrJVGzRbE2YqoXJEPYX/VRKk/lCd2aZF5jcMt1rGhW2qNdpEPShn20ekYWw
UNVB/Qa1VQ8D/Kp7b0U+R0EX271ycb1DtArWVcnU2azLipmqduqjYKjbLb3OwxyJBPrE8YNsBAzl
SpTuM8o/Z93I17HzdFsKCoCcq2uYxd9K58ptBZXg2o1595Znkm77BZrQgdSemrorx/NyCFhukoCm
qx7DJNV0LbmDlqW/TGnemnlk+R6oPLJLWpG9wwij1QKd7GkQpytRZm+XeMyiwU5uD3xtV8HgeCqi
KiOLEXiZVrVWYmX7eEnDOvctKElom667IZvXMW6FyVWmEpOkQGebxI3DsHKBb1qjZQEdlJoDF8Mw
rC9CKGIb7JC6863NodVhai2qdAlzH/OwqVIcNosqo3wpktNhaYNIynQ8S1NKnVlsMUaJ0Hi3LHiW
Zm4DdUIZQWFl2WDwyNWnccogWVdqiKpmGPoQfBzvyi5rkOEjRTdqTs/cEi/vOz83G+8t/gITy+pr
nPDkHQpEfbe0lzGSBOo8ZM4N1kOyjhuWXfglbk5lZdMgzEtnZQgdTx1y0cLfEsZwfCqbjbJTcy41
Du6azvptlSZ+Py0ouOpZkXwaMCKrsZiq3dz4Zc9GIY3uOJTBqcHjVetG8kUMZRBmwL5Gf87l+oAC
S/5tEtd5t2igH2BfJJdsSs2cNKCuum6G8OeKCMuhzfu2HcJnXpVrgM/j1jsy3yvpqz5cPKCZfAra
YiWbURSmzIbEPGx5zFxByn5Y7KhivbwfLMHbh50OL4exeWNphQ6DW4/ucDbbTREQGOMfNjeaNFUn
D1sbbQe+FrFx8VFF4y4Pg2miffh9N8Nmq597GVzH/VvEU96ZlnPKwYlhC4NXNEXhnI54MA/LF0ng
cgzT+0VW5vHORanLdTAsQ2SThn5fugA75zswHmnXDwsWSV6Wnx92KkZG6V1fffVTDiOGhRVf/tye
yKdTBwky0hnjlz2F5OtlLMN0QXVYFIG8bnGpT5wblJGJqHK4xQjJPKVtfCvGXl+4Jqv2D0sRrmEw
s/+5DIFLJ8LDIgTvkmJb+iwIHxYhaIeLcNZyCnHbtZufCxDLwkBWTobo5wJEO7tDBTnsPsD+T5CH
LdBz17YfdP6hQFm2ziVxW8xgMQUcvynNYZOBo2Y4Q75gu59bDDDRyC4fFhh6JZvrn2sLM6uWm2/L
Cm21cYQUl4NkN32XViZA0xQtk/eB+barkNYx7sNH2wmsYOxsUDzZl3QQ4ZLkU2M8mdMdn2kwmQY4
3Cw8XkjoepSfliObLtpZdPV+cJyTFbzAI5J42CHxaZFcLiyzIe0GsSpRDZUNtskzuBK3b8kkg3Wc
UP+2q5HaxKkaV4rDEEmS5hyxEWsjmwSY7so6db3IWswRkJoxMoVo1NtU+vKydnHThg1Bqd1MDgM6
7SX9kgYdbOoUtA+iam7tpcA8jYoybbFp0jox8aybHed5HYH2i1MWoO0M44Y7CnTPzpdjBkwG4+NG
xJPuonTsitNxXvrPadymabg0PFmigrUNzEAmaM+iRFqy8rDVE5ZJUX0t0IDPG5Hyd6OuOIFFIlg0
GAtLC2MbUkAyrcch6gfRiFVdieFyTBqyhS2EekfKZDG+tuRk1kqaBEa3581MD649LCddCWKivob2
yDcCm17gzsSM3vbQB4QKFVU4oz6GakuDPJpEkUCe5eVVwARZMZ42MI9t2uUEEtaXlOoK9llmedJX
Sbuts7G6HX1yhkuZRE2Nxp1zWhum2vE0sTB0oBktLlonkxXwwHOofJ1FDaN32Th174OOe5MtA/5g
e4W2LpY3uMFLqPKWGGCRAmfSQNKd9dqbuS7zsKp0thVLna6ScXJRXHG0tdOsI4wrehoDRIBdmLo0
I7SOYQLZz4wc6j6CyU04Q9q/hjFaucmSLj1bXJYn8His1q0c6UWep/SK5tNyjpp5gvwF21R8kPqq
a+L+uoN5nAtz4kdTlwGMUINZ7cD36/cp7VDkpi6+8VnbX6KpzrrQ1rJelwcV9TKft5xkQySt6Lay
m5IVzT9A9YMsXpEEv2U4XwD2zwIKWhBAY4KTyp4lvdhhUPI+6JdblZLO0N6pNenzYIuregzjqS1S
2CAKuisAOF8FKutP41J1J2PavR9i332Unb7rmxmgtoQciGEvbsq5jcoOf4oDXr+hkBdWVVIuVzJ3
N2iK43VGkL1Mh6WwpgEwvUna0puSVEuIBzFFQwdTyIFAY91pV54FotcrJly7ituyO1E64eu0LvQ6
iaew7LNux6S1Z9CEbGYosLmJ6YzXZbsk7zuFkt1cpleMlm+LOW2isXfNfqnQHHoWV6eawnYixICL
2pjdDTY/YDsvVprAvwBsrqqysR9tJcQ+BfAY4U7E20wtdQTLZ2qFsh6tfTcVxotSQzLw/YqU1QFo
dmdzNnSm6tyNDkZvcsqHfaCDZob9p1iFsD6T5QYLq4O1jOPIMiTeZXO5VKZBbZYaiRsG4YZ12OeJ
XlUDEmdZ4dIQL/W4GUuENoulDRSAUp5lypcXPuPNfVNVYiMrfz3UMV/jbAnW6WDL98OUjJsJWp8V
qae3rfYEhjwNvymszc+6JJlWfT7lZwnSOgrs1rJq3hdBE+xIMQXn3eDGTVrXwxbDZpVxpbJRi5p+
v5QJvZ8sDdZOZH2YtLCXqQfl3zE2a+iyUBPKhqV7GPIOqyqln2ARa4w8LZZV4SbwcBx3QAnU267M
ljDjFqoiLjygJGSrcz25ZpV3fFiRqWUXqqZyh9PiHvfW3bi4ZVvI6OM+7hzQhhnOV2zgyd0088yI
tkphDkrzm14Mw22HRH2prbAfyAh7Yy2vNkOpYMFzgi1U2BTpDOF63KMRV3prK+ASagarm3NDe7Bd
seSmTMfqK9PSRnRuekgom3QAmtkG24B06bkWsDjIEii6AYrRCqVDu+9mQNPpGI9riesgApMVYdqg
DiC4w0ZPakNBpwaKg4IVjRGAUu9gdyznK551JssVAfDp5wjNRbcupzwLaa+bK58XybaxkAunMu9W
DUzHQy0h9wjoYaKsKOszkXsPjamCvTJt82qNXduuESwYrFGX0NgwAPbWTFk+ns1Fa99IMYoT4Gi6
9SzoAn4q9p2cVRVpCkuL2HJ8UcGS8BYBqtupfBhgJxY64r5NkqsCeiYDB0yRU6ozMLbvYDXSq22B
emDjgwZDUmkDo+LltKjtXTAH4rxo2XhZLtn5WAHAH9HymbUuC2WZnylbaUMmQr7W6ZjCBlo1X8Le
X7EmQSo+UDujk6KuF2JmP3BrAjG8i0dSnbZ1Okcpr87dOH6CmUBjWB+8r/J8vPg/xJ1bk5y4loV/
ERMggYCXeQCSvNX95nK9EHa5LZAEQhL3Xz8rfc5MtMsddsy8TMQJx4nodlUm6LL32t9a7Y1aFWNN
vIz0bMidz+eDChz6dTLI+37SuLchgmf+EHwJVU/nzFbheAom0qAxN9XeJ02N3b7IXR1W6cscELFT
onmX0bxdGQe9Mtdii/O4wfAjnIZ1H211+21CbVUOoBqOAenF3Sy0LgjBmRsDIrSZtRg/5qY14Vs4
ST+bW+XtqoC0z6DyqnPiWFLKiq05XwOG4WE1ZgQ45i2Qka8J79di3Jqgzmwdf5Wm1zn6puCQ1mH4
NEZoebsWuGow6jSTQyto1jAV4/oQ21s84m0F/bBlPGz4s07Tq0COyyGJZ72f3TLcqGTrnttu6HCh
6KqYeipPM2bhO8dWX+JpsSc2VftVz+6YhjXb63SyX4aRDzvfLjdamSX3OizuaEz7e8bb6N1X5oUA
Db2aurjPm3Wx+ZYszSltK1aK2MWFZA2Zy4W58cpW2j2ucpjzsUX/mM9qSVTWL40802qVOef1983H
hGVsPb4DROnn2zq1J7+CrppNXb+UA61J6bfLVohWHHTQTbs+gY5FPJpmfHRhrsQoDzAIbt8XVKRX
XhUHu3mrrr2GDo+UybrEiAlYDHC4woFK/UYrrnNqPIfqADsPElLUZjEGJHcCeACIHpyOn+JmmfdR
2J9GWZubgc/kPKnlLZX2rxrcehnbQB/myK6lv6X+Pp3n9rRMmoWZ6tn0lwe8qss9rqdnka71J5UI
+y0y34WN0WtG2j+QqrMF6Vibx2RrP3NtmoJQNp7sNIcnaZbpbiMrrpCZdcOOVKk7VCJIAN8PnO39
NgiBv6OX72uuS+h21QOfcXhVfFOHZujEI27XBSxyVxWCS55XAE0ByMahLpUesJOkt63AeA1Yd/Tt
/VvVzsthNEMFJUrWu2FsajzWYD3BFvHVhiQ42Tmt9lIZ8wJlOr5duyVts1r4V3DP8KtZK5EDWNBp
aRsjfXTotp7LGh1GkKGM9nCPRr1esnC1ctoxozFki8I1VHnArc/xgUw/F46sBtUxRnCu0POWWZDT
T3peulJDqT7GUt7VUUx3MA/yst4SlYerVLmQmyl9vUmw8NrHxZH0L1ur1yVDMbsA5k2FpDlRfC3Z
YOWSRcEYrJkn6mA3Ns0DNCtMBGAKGPoV5WAcyx5l9MIKyrYg536nSvya+aZKXLUPRDPeLJXyc1Jv
4U61cR6AxMqZkdfx2HyZum2EitgMhw6KWRmk3s6A5M6Cyoc8YdLxPNO0Oqg5vLOztlBpLMrPmvTP
/hRq0M8LybZqbLydnqvlE4YjTd5G6KQ16OzvMwZdXzSux3vhTWueovrKddPX+4Bxej1CvX7t2AVU
5qi0ada2RPzVcx7s4yp8S/u+3c1pR7IR5Ogx8KU6xl5w5jr61LmkO8at64vGjM86CORZhXQ6pK1z
RWTCbdemyfB5YiNL9iuI6F0fhjh/XRdG+zmuoke1RLJQdDR72qvxegGUduqrZi1rEtZvFKKrzGZb
J4VxU39NVOV2ceqa7yRpmhtvMskendZUMFR8pxGr9IzKQB90H6cHF14cLwMLT227+ahhB/oMSSH9
EieanG3N3HU0LfFdmnIMbOYUq1AnqMPHtetL5rBl0U6RkqtluN+qht0tK5XZVkPRibgdL7VYdHbL
FKJok3T8IqfO6mxIlzDJFjzDR3+gjZf5K2ffGkx1mwz1i73ryIILw67oZlA3nKqRu2tc1nHuJ1V8
NgPr4aMIvPgwEgmI3oPDKIsN9B0Tuep1i2t9FPHkHxPNg5cAGlMpNzmlqCTqEUfrtKFFBunyZisQ
hqLphzLw02XXxEOrAZ/OYaa7WHzyE2ofAxuaGz5a1NxKzBuHGcJwnaWbZxnMJTKtMy66Bk7gFT/b
sqmF2yPhyzXDFKygm1reh1p42Dy12ss1CCDN6m2+3TzP3utKkrOquv5JBFyimuhW9IKT7HemZtMZ
FhBf5FwMoyxioOxxtskg+DY3yl4JPrdf/ZZBmq9hKbmb1rrrcn/rG3bVDh2KgMRomB0SOD0yacak
LuKlIZ/CZjLf3SjtkK/B1J2JSHAxLyJOvMzrSHXXzc2Iqxcd95U/gg68tnHnkTyYI3Ywxo+/rQ0I
2g3n4ne+ap6cUYexQ0BD3KuLF9RVPqbB5OeRtN25Z10Epch55snjdfiSqnZ497u+h1pYcZHgDMOM
dMZR9TY6fyq2dsLHHYXXXPERvJeE1/lFpdJ8D2FWf8NLjjNHmtTuZuKF2ViLvi8woeRJnrJBjZmj
HjAgwIVJ6dDSQb+X5FDVlDz2yrqbtfZpi5uxWS+2Cx1e167FrGr2B4d6KYRIXtTjBQuGbei52xIA
k0a34HTDH5+LVlOUu174okSBaT67dYnSrJET/uwHnHhzt+CbIHbglgIvuY7G2kIeSevqsC7x8qwr
ovz93K7pSdhtMxlhozTXvIt9moH1adyj6GcAE5XP+T5uMSZtpql2j5PoZVCGrQjLVnhdXUyaqkfq
d1weVVLVTT5MiaWFL61t8q3taLZWaQhlg2DXV6OgtnAOQyFcCDWgyXYFz5YmVXuOZ6ceTSKGfT+2
S7Qb4hEPxK0OjzQAbsRR/vdBWGKViqDEwAyVReswupUOE6+s51A38ire1CMkDf4KGR4ddOr1YTkG
s/+mXexO0M9FmbZCvfiLmGSWRpgzKU8P+6pbh3c3j8NNsC7riUVibM4pxr03EGTx46UDqLNdJpbJ
kGKdoqOvrheNhQlTVggQLx37z6xDZZIKwa9jsLklDDLikFQMY9wuXvnXwOPiKloFmIYJTPC0swzC
Uy5qNEg7CdFyyns/HXThT6t+jNt+EXnj5NoWQzNiNfIqwpzSJfi/llbN1Qhp/AWKQAPfV9PD2KJh
p/mi08g8ibkb3sVUkRgGIup98QiwzEhT8wRV00Nzt2oGh5mkcQbCeX62PrWfTArBQsLk8oKegd3E
lC9bpmR6rS1DfWCUY7jkO49lscN5hbEp6vGKXKgJ1fOxFLUALeYikvuLh7pywEF6g30wtPkCR5zM
xajAMNJghb2N9BWGByNNKN+P8ey/9ko2Sa4GEIBQsLCy7CTClwQKfZdVhuJFGBFhKGF9hZcpRX+e
GuC5dLWuegBhgXsXYnB724BuLcyU1NcpXC136dBVqgwq6KqZt2DTb3jfdu/addmBYFjrEwCx6IWa
FovAsf6zIgP7xmgtruqeE8iQ64zjwR9APQ5eGLeZQmfeYUrUiBUzBh+bR+kLpyL6LRyLSEXpU117
WPJxihXo9QYvoRsxOSpdOIK2mkREt6wjCfCrKQ3aAzSq+dlLGnHwATjcUgwMHjEeHXM1Y+HiWqiu
65ipRzixzJNMk9qdmsjF39DszG2hpwF7A3EvOJU43TxAqp5GZTYAp9ujjuai1GFFdL5BR3xV60ZQ
Z+meuCMcKfUDriLDisTKShzZOoqDTWJurzj2RwsvmPHfaoWlLTG9uukkducaaVnqXuHUlSt/xXQK
jzMOyNrdzi5ZUXTUfNv5mBiJ8sfgegSA9r33uSY7XU047llPsYSNuOzvoUejc5NcMO9udbK8wCwR
muyuI7tAzjjv8UvwQ9N1/qRoCll4Tol9HOg6YxRViaEUl5O5wwVQptuyXPlRxfO00/1D13QLJkfB
sOxQ1OMGkgz/GIqzvyeiW6+Zn1g8A3C/dy6udPQmlVUNWsiaQUSFrn5RqPCSECk07HVXoxmybcuS
fCWCqdt6WKa9gS/t6Hu9Pqba80/DVuNd4JLrWY4XLDMbW0fLaMGfRb1JnO2z31S3KmI4I5uN4pyL
Ko1DxDcefUFL6e+V6E0Rca9+sFjft2aR1TWst9NuqKPp4PEAw7IFNXXe6g0PaSVNO5zjSbu1iLsO
SmvnJZV3WltfrZnWWHBkimiYT6uY9oRg5lp00qDY9qGSwhQablcYmG5JJqjESdLBDy8wMVXAm4fR
PC19gL3YWZbeTv00FXgO7FCZFP432lpTzFZbTERcdNKYJ/CMJsCKSNBHTyFW917CosZRl+noi8KF
cvGkbebQ8/latNZNVxiF4soaGCDjLgT9h+JBHNJF0MMolqgUPMJSmTChzfsEk4+5A+GY+fU6P4f+
wFA3WlxSUULBN9JVPaLQ8kSGsgeLdxApZpR1n5A6n2OFCxPVITmjjR9vVzMN2dzX4ZLVzgHjF0tw
B43qdgxCFCydH2Ssw93geQsQ6H7xTuM4uxOkCXybqKaVyyGNe4dFGZSAbTzhjPc653BUDVHI/wWq
/duH/29c7F9O8r872/5udPvPJ93if/83y9xPP2j/l77Y6d3HH/X/56v7KaHi7766/04FABLzP3Dd
L6kAHxOq/h4ngL/4b49d8B8+ul+wQGEIUAXs7f947FJEENELbQ/cKQp+/JP/9thRuP8DZNgA5ozj
GMjw3z12MQM55YNUhksNf/d/47H7QT/9jQG6mOxiCFAA2C5BIfBc/0wsQcCvhEpWeUiG5uCaiztb
Lpg6bP417di5tRJd/wKJsHtMrNoyOhM4SKLxRfvmD2x0+BHahR+JAI7H3ZcgeQkz/58/C3Xxio2/
9QfYg+IshsCJ46t6gOUWjTcP1a4nwZrjqhyeWTptZVjNa9lOoB5CDDu/OfpWaTQINKyPwdrxm7S2
thzWMS2Ycs0eg7IkGyFIlkLO7tal6qsh7V907OKraZvjXA9zu28J9y9K46nX4XTyySL2GCvrd5UO
ExQMXhVSJskNq9fXuhVp1m6Nu0vqdL3hfuwKsfUpyvOL6z7AyKKGh6DAMFwD8GuXL2yBwAhHe2nR
Tf/BN/GRPbs8PQZ/CqBOwG6/2PtEG8e4axdzwDCMgqsR7wFvkqK3fQF9LjwL03z722r/99nwO5QU
v5FejFqwj/qQRn4BBvXgw4YAX/fim3fhmvYUmXT9A773i2Pix2+JLpQxfGq4gz9AloD3Qk9QUGqe
rs7OMLJPYhAbjR+tueEmVw6vtTao0YAl4AbAWzlBlBFXq9kOXdOUmo68gLIZ70TkwOn0XjEuq/0D
ivYPi5cSwMOwEESM+h8DNhYeMAAFcO+Rmd5YPdKsRgGYh1NVVAQfa4Jf/qRWdybpbM6/fxH0sjP+
touTyzMiMHZGF0D64iT9eecswGWopyUc9vW05ImDcITMBe8R3Uywa7blHpEe9S5ZB4hlG6jxb9hX
9mmsmuW8dX14Xp0KM6nr+UsYBMUgh2Kp3AxSpp9vphZcgInxL1A7xJirpnczJnlFp0m/dzayb3gs
MWpTfylBAn7irs79FfOveFp5GVAdPjIxRZ/6DiLu77/3L7zlj++NMxB2LIzf4Zb6+XuP27aNutEY
cUJPXJruU920n2Ppt1kg1dd+XCDNLcBN/MjeAzs2O3+w30jtXfmc6nxgGItYOidFHGz+HfTS8A8f
kFyOzw8v5kIGw1sJqwUmRR+O1whNtQmE6w8UBTK2R3BLMFjPN6Ufqlh6e7vM3h5kcSF6N50m3WHy
XgMgrMd5H4SOop8xjwHxeT7apSkr14p82ZwPeTaVt8Pi40eEyQKcaPnDaRz/w4IGJ55gc2NQffGC
//xs2yjA6CKtQPeT9EgvH6Ge+HulUzTXPvRpe/nEgCxuWz6S3VbBWTjwuM37cWMowgkHHTMFPOsT
NhVUdKzAp00QeoJBi2PpV68nSeEUsB469/wzVfFV489DPgMEzE1npyPmWd3NRtMnr7Mmb037WG+s
rjEXBSEyUF89NI1FYQvQi94vrQyLAfEBWd90rz5cZLvYNxBeNxewPJ3qO+a3VaaXYM41G9crkNv8
AY5Tmxsxz7mDDSgL2o7l7dIv6AAkroHBAL8OgDoyG9oSNNBtxWV9rWOJCQ8x36EqpAWcHV/UilCP
LAlN2SFZE4kZHK2nHBKkMSCC5wSbH3YbZDHcAv2RT8iYiSgE2sgm211Pm2bHJkx/MLIYHnjAcd9G
1PvfH1Ah3uQPa3GCRIePS7HtJwWWrz+M3L8Zp6suYl6Osz3GBFNfUbmeiZ4+eYy4P/zif9qlYQiv
W8xg5IDt7cNKqtppQbZQ1x8wsfgaC1NCpnkfYCMr8CCA+WDj7OBt+yQ2aiBiaA5/rDfvLYJ6AIQM
R9qPJJ8nub5C2ap5plCU/P4g+WHb/LhP8Rkvxg/w/L9cMqkMdLzRtj/EnUFQCtw8VwZCWx5xg/E0
KKt7Bwg1EyQyOdCTcrWoRKLGLjncbCdCu7HElcKLcNvuhdMv6JWaciAmPRJI1bMVnwFIjH/wE19C
GH45XaIIrnqCyIIEf/68Rft6jldAkOawbYBU0dQku4rC62NBEpZe6NdXnU68d552/uvM7LYzotmu
MdCTYOE6DPhmzMzLiBiHEdrW72Amvm/ASCw9P1aU6ccNGUB2fHAunfPFgM+JNrSeLQy2KM3ovKua
as/aJchFhyF4zb0HwuPbFEE9ITdB3raV2Y++uEvW+QsicHc/Dj8qIgN9Mx1LQqEKw744QGBC5AJP
oYTVPg/3U9oMNgdleUS8DpJKRHhtfCjAOKuOsPAt+bCJz3yDXOTFtwyC89Pv10P40dmBiwWFDQJ2
iA+jHvu4ZFvZrwHMjvqQ0Co3dLuuxPoULJLfRCg8ikoFOov9cDfMhOcOLFcOLRwHQIsB/AisoVJz
iemFX4S19DBHTdaM+RaEGg7+joBXHfruM5rCCUDAGuU/fos3W2TWcAVVFj8poiD0PFi/o5lcrQ17
0Y7rlx/PuestKWZinwO2sm9r3+Xw0nQZYBeMd8CgZUC8m30F5WtvXe92v3825B9WXYQgBxTqOPVB
338oyPw+nRysm/rQMHdvfH0O+g5j89kMxRyGr9he3q1GMRhykLxTvUSFmvxmRyDRFIs3uCIQVXBN
m/G2M31pKv4lVvWNjCwUFouVZRUA++DC3nTayDyGxwyXSn8rFn/89vvv8k9HEzx6/r8i2Pz0o9m4
tnpK5j7B0eQFX+mihwe/3oJT6G8OpKr3ZCEcvrt6htgjNpsjBOcN+wgdvAqwG2AdZhkTXBUzzttj
s0LySIcGIs7vP+YvwQGXx4yQuotfBuYmuDV+3ujh6tOR1mkPaB5s6lLbC+pM6J57VQuyrDqPXcKy
JuXsgTX0UeMGyzakfDGXNPkyLjO2kJc+D33zPMw8LiIru7utGrwymhB8FgwpYBs5+rtLE5sZ2qK8
4+D/qb8+GI2/7ZkN81XvQftIUWJTyI+//4bBr9EIKF1jXE8M1rtfq40evugala06+NwdB6x9QJPn
hMdPnon/WmS7d0v3SajwxovGP1TPP4Jk/n74RyEUzyi5eO1jH4LUh2N0wvTe1Zeggtb3jzWqD+Eb
LAGcjxEcAsS3nyWYVel3J4HTPGsx0bcd/dMVdHmHHz8FPMFop1K4h+Be/fkd93StGi/GtlovvC7p
FszqfJI127oUMQYBJ+zGa8NqZDXIRpWIhEPVB6hORElBYGAoxEI5MukGBJotih2brk9L+An9QoM0
FRW52fwLv07Mlx6kcaFkcPr9S/wHP9yl+yH4+Fiq0S8RL2gLEB6yWH3wBPd3Q0XTTzMO+syL1Hqa
8fGuYxfqTDV9V3iO+8+D1duXduUAtMB3wm8ZfnK8Fju7LUkWSTyDZDLRzvPdV0jqgFQwUs4hhU83
AE3cQYR4HX/4Dh9PNyyGFKGcMVZ6eNlxH17DyILKWR11B+RX0DwFFPfVY9s9yNPd3Da4Gzd9MsvM
ynlgVcmD5RAACy0xDOmeeR+h6hx17sl0yuEwWDJWbSnoawV+J8A3xNTmva9wvleQQAvDAlCodLdu
cin87k9t4UdxB2IAjN4UpjcUjnDTfzREtr7nSwTVdYfOIXew2oYrMlbRrfNGnKhJ18CuFN4uEH9g
lDEQPQjwfNiLMqMaklep+cMm/xFZ8WGJw50J7eoibCWwZ/+8xBF9iVi7wHSHxCBvcjYc0EKMnLUR
j2cJ1LeQdQcIsk2ZjDHZRd2mSksliOdwe6x7ukv18KzbfshcrY4z/PHbVgJyuavhPsvQXwLZalev
rNsVKXuJwNUo979fHj+q5I9fIUU0BbrNGBOijw4/S9wGpGZRB4BOBGajAWAOqf0snSowfzaBeaOt
MUfnw2mtzPcJvK+HV5BBCg4LZDLeo+Ogr01gj41I2Mu4AAwCc99dq6adT2DsLyQ0bc66E+6WyfGM
NEVQnd5ULpHa08S7MzgDcB/W8M7rvAGKC4+5+MORGCaXV/Hz96R+gMYV6wdJAQn74FDWIL8wsKnl
Abh2nceGvSAdy2QYYZA9WQZEzWztzPPOCPLsPI6oIi6vBFvDr2CP14MCFHtDGzNA61Y9MlL6GsBM
jIknFUCYdQK717CV3GvsayfhsJkQc3hIFX8XG0s/B34rMYbk4R0TXZzD6HTxZXOxAxvk9u3WkoNp
o3WPMVcAB5TcbR6/YXOC4lyCSw6Yum/tom88W7urjbjzsLjuSlaTf4C7w8KGFJATGSfvjnf9F4zG
sY5wJ6If6iPZ5olNPsej3UUwtsH1tADFGdZgBy/kfhTzG+HVV6IIjlAHFQEI4FZE4wwPJAZYZUcB
w0KpaHYwRFSFltQA4RCHpo/YbiBJ9aKTKLlmKQgD1rtjvRBVKoL/VEM9bF6O2Ic1h6/K7JshGrJE
NPTZBt0rFX5XbM6amzb2MU8P0x2b6ydpkvkwD4CZzXoD05sqF8Un9LxqLogFVppiiKizlrdvHZXn
bgzTKxz+zYxifaEkS0Ww6xkqLxh9UYXXYkE124IVijxK38Jm+RwK8T7D2wkOYC1JjBgYpFIZeuUZ
/d5b+snrgrEANENzs7LwyU1jdH0JJsgCTyW5Xmn31qH0zzsOohnkwZj5Fblg8yOmsgjjzAaAJmWM
pNIsAoC3kwlvd3YI97AtLfk2qqUAXPBq4d27d4v/qFd9Zwd5RIddypUmee+2KGNKfpl94ELxtG37
i+F7Bxu1ONamURlp4qSYMKaESDVOx3nUIp8dZizEiO/tELKHeBR+4analeFkdbH68VRqEk3XdlTz
XqZefJpscqO69Anpv69B7Qf5hh47Jy0oE5SHzZU/1Gm2Uh78wI+yeMHnq6yHERyNB4xKw3sw65ci
Hf1lVdkHiOAlgYUq9xArmU1qKykZ073il1Msil2mzfh99WCLQ6jjdJjhnboY6RGqmg6voU74UekV
KkyHbTDrRF3hpcKhAJzrmkWooZYx9POe0xeH0TPwDga0fb48KsRhNbmCUvmmppWWzSTWnV1bg6M/
6oCM+eTa8BaQ7UaxPWYawrIedyNsGDrGoT2ENwOiLMtxJulbg0WB7ybDm7GdUW4isqAM18XkNb7/
PTJHUwy5tu6AQSF4VNvh36vT7oDMWvWGdKuwtDwcjw5dz71x/bibkd90HzeYrVZeLfeeWgub9m/x
QAlYue9tg5VpR9iIJXhPPzWfx8CMO3xksRcglT+rmJ82TAsQqHMPyRinkpzut2G7DsPpeREtQ46f
wpY11bniyoO3wwJ3lnx93EKzYu4A1YmTCim8FKcWpDtW+AleJIy/Bnk8zVfVplNBjO2ztE0wVkhh
jk6aM5smWXCuG/jGaIof22+IIbYj2DATZQ7JEt97h8RTmUr32rd9eg0YC7ULQNw5c2apIGoJH6bP
ULVFgnCfg576rbBrct0MAQxg0bnyFgA3TO2qKH1kePNs4eq9q9bwVEPCzBUf1XHiQpcmGe3NGrQL
gmGn5iYepjvwXUDB/I5chQaxznId3d1IPfoO5/QRGU4dnhYFkz2jgWFogPLZwLKyCawjolkKns3U
4rtYGU66XlVfY9/RL+C+7LPr27iYlEcOoY62W9eOaFBMusVnDkbDZelSv4y4rnPsZvpNNixF6ify
SHL4SO07C1v5FBixnNmmwiKSQpUIs8XxY+FocYMfl6ThNwD/3hQJu0No6PgA5NHusUXUU9dIdoCZ
LneTS169DfYJLEhdLsJtx3pcMMNS3dpntQ7jh2li3jVPJlqYQHXXmMfVN65XAXAfZNoin/mIeKPt
YUbEKVy0FXuRUD8Kf17Ns4xUfRwt8d6rNZ7+6pF/e1RU2hsXIlE285WyS+aF6hLnWgdlBF8tCOHx
rmEUyPuQxLA9A2bOYrATB0x+WC5B6cAXAltci1RlHl61wbq+zTAyZE1CTUlbimkKBLW91uCGlnA9
tRHTuUtN9w3Rvmu+4drZYdQuIJ1N8zURMtxBGXbXTeeqHCRilcE7Tr9KVOqXKferXhy/2E7ETQf+
d6fDdTgTt5zgC4h3dYQrPO0X9YzUGpYFDbb5FIX14xo4cGpbfNtN4eHiJD8qtYpcWZj/Gk0qRErD
1oKiDA74NTpVBBYvzfgjQYrl/VpB4m0qeOQ942Nhe9S7xum/R0qtOaeCg4kEnEHhtoq36eg5u33C
mkpz+HzwWioVw2ZU8RdiovW5GsYWmcf1RYOari7FcrqAcGsi3HQcaOiOKlM9xzzGSP1SqeDA7G0W
K4Ic5bWeD2uPFYUWSt5OHr0THDjowsIhDwgFHd5JeuBp35XrtIR7M879GUG7YR4AZwLyFCcXm7HK
bEuGY0XCtqQqojCz9Ka53uaq/0MzGP5T+UXxH6jxMTYIEf/2oSUd6sYELdJ1Dg1636tpTDPrBVUW
AXHL2rEND5q0sGGnGm6KOaHrzqQ9YgWZgKm227abrcLyqqQffgJ3ht6D1w/g+6MjqszhtYrHuRTA
+btdPTfrJ10NIbLTV/s+9Fv0vRIj+H1P+jpjIFAfiEPoNNbqqF9duiEFXrANxAI1d6uo2KGHSQ72
RKQMl7Cs37RDvatT7h0QOLEUOP3/QrAlEBQ5/UnQvsRTfCxRMRxHsH2K3AcEb/zcTcBlazezwaZO
CLLZKf5qMWupd/2yquz3ZX/wcRiCUBwIgZBYMYMMETnx4X1s42SmuF3aQ+zBCtohNOoYGvNlmGWd
86heS6X4/JAqVm4cOFg6gfnipvczu+Bm9dr5wOVwhKQAOItuj37srfBPb0D5gS/9oUdBb/cPTyaB
annJcYH+/FGhY7Z1CZ1ApqDeQwI/EiaPMQw0u3RigOUb+hpR4U7IcIOVmKE0jdm8g1EWoHubeLtQ
X6423+yC0XUArlssMQn5KaeRdWNWd1NzF/BgLKNNNrcDGLLjf3F3ZruRI9mW/ZX+ATZonPlK+uxy
TSEppHghNAVn0jgPX9+Lynu7IjxUqZu30UCjHyoLqESJTtJowzl7r51OtXIqHfleQdf1UhkM/MtY
uQpZdy8Umw5836nTz6BWk2NvwthD2bptmA5TD0eN+Z0lgUOCPk6UfgHDdNA4wuB5IY4fOiOPGViL
zJyy4VHtnmRcOrjP6ODiE3hTZ2xMIokM+urMTsxJyUUtkuO8gICE2jxSDD/ih3BWpao6p95oqjt8
/s3ExxSzKUlA8nc4MLec+duVq2fdpczmuPecGVa7IwJ0leZcXIdTfAjo5TF92PUBJaG4to0s2Q6D
PJRUz4kmwHEYNJQ7Jzt9ifOses3D8iqKI7EKXPFaFuMxxAa8YOMvMc/uhUDzpptDs0MrtU2TOWTS
mnqvasrmQk7qlQqD48R0+ybjQb8xnDZclegfkTxE4xa0t4YUwQ5edUvEW5hO0ymWsj8lWNXYQdbg
GBQU8hmFafy3wfxNMZv+OLdL+1spdS+wdPqh+pisWM5CrEAmXgtlfM7DkPm9cfc9IBtU/liIO87T
Y63j29X091BXYgwP9xCezE3mqBS7bezqZRfqWEMH86YDoYAhLhS7tLFR8XcjToyyAIauMxAkcpct
nAsFz0iIBFaf4nWdiPckzvL3WVryaGB+uGDdnn0ONPMqtwbTjxjqK5d5yrNL58LsMYjUaaZ7ozlw
CNZpDfz9B/9R8zufXFzaKvyH+Jw/4NOROhdRFIJqDYWR3jqDaTwGc6myLTZM4g3wFadH6Ubrqhjz
rRWGL4mO2qBnB40VL9qlRVNeR7N2iflErEK6NEh4cTTKuj3ofVptzKCdt5gPi4Oepj9ofi7tUjXh
MdeYrUO3wt2RbWVdjZcuAASvNEcHMUFYe5NleRpgOd+tYRTrU1Lyt1Np39jqJNilZA7pDPQtg6Sf
L3HfJdsaPftJlANjSerbWavAZ1Oc31VBl66RRX/B/fuklkuyDWV+OmmOoNpzxkilYwFJpGiznRQc
X2Q5yFtqKRIcnbsaq6FhQzYm0k+d9lEG9WmpHPz92/uDbLxM164Luhwlhr6oU35fGoo2bHpboY6K
E3CFhfl72fW1F5d3Fvj5aI4eFf3OasXKjHFOaV9c/ZO1glAT82PB4Dd89Bp/YVi2eddoWqFlO8qB
KdgkOa4qfq5Pua7fNYqxmRuL5Im8aNZ5n85fyID+0Mtw71zesZdmrw5m9GypUpyUE7XL5UcIAuso
Vx+afIx9IbVvWiLvivk1b5khkC1tjHgFSManiOBj9HK8DzmUrWGIL6z3Tje2sjX+g8P/b4Hnf2C4
P34fejhToClAGHdWBEQFoqqSjfeuHo9V11IOsTDkJunK6Hp09eRxACB4tSsWR4F34s5KZuwQhv3S
dVjMHPsF3fbm78fLuXTq4yeZS/F9UdLQpf59uKAyG8bcKRguevYYBsFDD9GH2kjD7l1X70eO4V/M
L380ns4vefaNlCaOYcFZf+dMyp0BTWlDOMb7PIZvaOdVhAHFdTxmd3lvBlQiDGNVO+JmTNVvmBku
Ey1pr+WwODPsNtmbkVV90eT7o+O0/D5BGZ+viJOfOFdd1VVV2b3tAGirZe/FQW18m9ruNmJclW1l
76cQvEY6ZtcDfWZ0qsnN7BT5k0E0Bl+8pdykA6z8RkN0jfwaT6g1B6ix1HCrAsLx8Qs4/gwB1ENE
bu7rOmluu8J1OGLMKPValFOlO6CHDdLRJyyDOI3E+kqY8Ekxl5tkgl9meY1d5Fkns8eKmBUC2nGd
Rxe6BcvAKSyKbpmk/mBeJ3QxOQQb0SoJnGpVlmzlRupIuOIAPDmZq21jxXx3wUTcpjgND4Vu3BaN
XlD1NxLfyIBcmGkqTU+1jdlXOXbTJ2jDNfLAZBNV3U5H0F14uqy7faqZKzDf80PT5ZdRW361g/2z
vbQoK2kC0OrS0JaefXacF1TUnwmdzqrNV0zMVKvKzvhuVkp7tUg8e2hzL7q9BMiYhX0QNjWounPN
rUA8Zfa2pDurJnf//Mujy+44OucccNdnX16UN6GIhS13veE+zJ3z2E7WeB9UUEEoq0vfSLFK/v0l
P7oMZ0s7rDuV1DtdJZPgfAKKOBslWIIlmLGEZlqlFV5lynnL6UXZTFMwXnyIDqK2oNWaNul6wAq1
0wMDLZHz9Yv5ZLPO24BCTd+Mrfr5MaZXxzipdVC1SIXXluHMfh+Ob7iAdK+XnXqLU2ZDTSJ9EBm4
hj6iOT4k1VMNw3d2IHeWZCh5cVZFX4yYzyZFW9cc3gpSW1tbBtQvy1jQ6CLPB/i16Jt2i6BxDZk6
2LglWtJ2mBDdUnf66t0s7/v83bjwemkeuu6f0FzO8ARoFVT7iY0JkOXp7gFn242Y23rLQGWXnSkn
SvU3ml2Flv/xO/5+eCzL4x+/gA6gwaEbwNj56BjHOapVPE87qpoRXhtM0ngILj96SnqgU5ft4gKU
kvbP1yCNnSYqTksg4D1XIoxIkFKO6XJXKqnpG0FPng5du7Z2Zz/Ire4q7sUXl/xsowau0lg63+YS
dHv2isMgz1NyNxh6fcqsO3DWT4BESMzWPtKdDd2rFsvGYPhVzXlCUZMv3vcnYwwxA58gg19o9Cl/
H2PjKDNHhFLu1MncdNX0FDPsfKuLMQOnNyhCii/Oxp+8XSi/CGXR90CMPG/1K6wDpW5A+U0z6lAB
LqEdSBvUudWg7jlvvcJT7C6+VlN+8pEvUNBFz+8gcDgXU2q1kQMFpPPJoR+QTe5me2TJBl/4WH+x
/VwWrbMBTKbxsv9FGubyVH9/piIk22m2Mjqpajb7lWOeihn3TGianAkGulp//70Yn7xDnerwIqAw
qJ+dDyJ94IDbV0VJ/UzvPbA2Yi/GwrrTSRy8xUOfXAa9jR0nTq4cpX1VYJF4hlUpHkq7H+TYecl0
mQtrxsvtwlxX423dOsMNPv5unZVSvXA7Tjz97PR30sDmk5aO65vtOG/iGTqICe9iYxFP6KEQ3DO9
VuteL17HKCq+Fcl8JBbveaxzQ+NwuoSvYYn1BC2wjSrNgQ1uhb2+zbWVWuJuKPuRBLGhfG3Mctwu
GMVv9JaDL/rgn22BYQpgVsZxgZHj/IQwDIC7BkAtO/SSIVve5KqxwlXCB24sD2Qp9UOXvBzm8klK
Z6+1b06w6CbUPPayKNwABPy/F4/1f2IH+n/R6bNUyUyLr+jfG32O1HYLONv/ytBCMvYf/6+/XD7k
hXPiReet8pnrcMrZzw/vS/onSVqmrVJEsJ2Pb/E/HT7G/1yCfoTLN4rpBRj4rw4fy9SQbjAfWssZ
yf4nDp+zz5NLWAwy5GPYjGgY6GfTARZ7tPsCPUsmQu02cxxCBA3EdornTllqb1FRknvX9tb0xcTw
2YU5fbOKczMwpZd//8v+AQpq7ChDV+xUEc+46TOU3D7OhKi7HDpz3ld9Y53w2Q//bP77uGEHHjBC
MtUg7PT8ht3ZnWoH6SZquGILHDg4mINuEu5QmseoKJWXX4bC9V8z668uGLaMv8+4S4aXytX4LxoB
WEDO7pTqitGOzqhse6FY7/gAYChN6tifVC2PI68RfX8aadQ+o9mvAx+hV06nyKrjrYaZ/hlW0vCa
ZYSGemJK6gsQY8U3qYfGIa7i6bY2UtBzRSjqBaRUu3TeccyvEoL/Nno8KLnXKE5JfEinGM9uFsXS
C0w1wDw7wXmjGuGsnKSU70PeIUxQlz9mtkEIE7fHh4l3MIkvi2o0d+ABZ8Dk8xxJmr+Ze+EigV1y
nybq2CmIsh3MWCZvJ4ujCqXzECLEMazxtldzd4v9Z3i0qq55c2CL3qaj6j4kqBlJIph4CDTnMxz6
sIVDr9H1flsgm9oTJEN7ZoxBZun4/au16wIDBJ3n2DelnXXXsJyKYh22enfQZjX/aav5tM6BAL0R
iGUiHE0i2o+h6E8iKOtdmRv9VsmtfA03yG7BDgT6nhUxH0BIuA6WS7JrrmPsIP0BY5RM1/mE0RYg
Vc5zlKkxeBNklDXm6ixCisCGs1FmZ6PkIsBAS8v0pnWldpfNCY8Rk1FKD0gJjOexIXkBeXXjbm2l
QOeKLfbomrkV+vAv3AstGnm2WqpmD3BcyTEwgz57qCpRHvNyLI/q1CY/TCqvM8pgIZ9QhkUZ6JuB
p+EExDw6VMT7nZBdBizDZah0LQ/c1wfwBD76lXIv9C6/GSoRPTWEUaKhMkRxcMwRBzUD5KoJbAhY
Fky7wKugFu+TeQEuDsD89Futk80b3TmSgak6aOh9YnGJPxsnSp6Y6fWAbPJQwNoxN6PNAV24jUaR
Pu9py4OjW5glOAxXEfzyS0HrOPFltxA7sNn0yJhbN6O+HiC68Yjobe+TetC+A46om20AOzvxISJS
+6T9jFkZ4ThsC4y4ibsNRWQcZpps0ABmqb70bgAkTZ9VeehpRlPn7pZHDDpz0jwlcjrHV3MVwKAb
1rwaRJ2BvVbIDLvq+jZ/TM3JuU2N2t0GQ2FDuA/hdgk3R/GjZt0Nyi0tPnaZjLcpJHysLLnIf1Jd
6bed4fD0WJRJtXQI511RzsBMrPAsZJwysvuolU9a1MmNE/NSYQXGlzlYigWl2Lb3oyL54oqqz2/i
aGC41+hfADCIOHp2O52GQu5Gl/Y4lEctGORmcNJ6B4+X/qRd4yvupJb8ICelvRdTLy7xiLhXQVRn
5sqMovG1R7q8t60QMGZgqy+tRXlpRe1IsVZao5tHOzXpr9Rd89oz+jwINAyVMBhvrZK0HT+oTD50
yIjU8Wd4pXuRZUXgETAWj9syjAYTarkCPxLlW/DNaUe79nu6RJcJRxXoAQgkhna+USVeKxilhnYX
yALFkQLH1hPAvO/ZPiqvQMvzi3YRioRKZ1xWoeCRhnx1mL7pN4u6rr9HH4ITzY3Dm0io5UuKbH6d
LBqVHinlQa9Q8Qw4WLaxBI5J/eBxXpZkP6o0LN5DR8cIlau2Ju6kXPdJdY+WL7poO8W86+QwP+hz
h9KIh+LeNvhNdyKzp5G3UdL1doLg4ETGtsMByzawkhdpI97NMclu3TgA4alM07ZHsngdJ5CPySxt
iBKwp4fKDs2rgk33GgZU/zZUtY6er95BJbNfqqaBQRrY0GO1MISrItUIf5QMrnQiCLe65Sb7kO38
LoAysyIGW/MjUigBclTJERW+9WMqcpPVWpDi1qEknMnABHBsXyemeKx6/S6q2/qJ+lNEY6T8FlRa
fygT8x0qnbISlUoDO5tbNMRL8zzvZUxVk6P9VumzidaBnenbXtHajT3hqMdCFaC9LYrpKlDan0HV
iNMY0RDMoIshRKjkfTo7dIvc9sZUB32VYLDdm334HOQRcPxIGocgAgTg6V07EXM0RnS/wPNzKAuf
4GxQDNO1S7s2UJ4GM6WLOdRJS7bVKkempvRQFaFE0tqPD9KEz7aOklbpwcXJ9t6uNJFsKmirm5IO
PsqdutU8snDqU0ud7drRqB67vdM9tK5h7qxYGLzCOtvaLhmK/CI9PSkI8iAmG9PWyRL1rWvHEExm
WcTOwVTrBaeimfghjSD1SpHldGpCoMBcimhMQI1B6uNQtl/BgLirZoJX6ekgwTd9GyyC7f5Dhx0T
GK2KPrqamv4tHWIV4EKCF1SOgKKqtjtxklbRDVvV5dwg02oKfVwj/bkZbXFy8CEiF4VSqUO8RxRH
KRGYZbJVHCcEj47aCDgpko786oP71SuQd0WqhdSG7PHoNugCBttQRo4KJ+K8/4b9pRhoGGJYMwBU
1HFFTjMpvYpjRV4cYx4yFTSK/x4DZqVmqntNZgdv/yUMmJnR2coH2B4O/D8dmA5HP/3bwgSzc7u5
Y5in/r+YYKMokwdzkj8zyECPZCtH+wo1HhSerL51Ahn7aVQXXgbw+AUqi3tRyCmHVZVjYFX7e5oI
SJplBzI9LjO/dSvIhCD+5kObjA1rsR2TJJ+11SkNExiOaYlARyn7x6hirXNLl6js1pR/McOcmNxj
pBPx+l/gsNIeBg/kFagkd8i69Rk5LIwyllDKLscqsR9iqLCP8oweNndjcgUYV6wE57tjHo/xyS3j
Pd6xzG+cbtx0ZSq8D4yYHunRfnT19LbvopC5Xe1gWjUzHhDNsNdzxM4jxCRPjwc1bdlo8gba7qB4
SSmGpXApkdDoMORwOL4M5Dl5Bjzm6yKNh5Np5cPKGRroJVY4bpUBg/VfcDFcqRDGOhSwiHry5Adg
C2cPb1t4NaojP4jT8Q/CmGKOuElaIhTYI9bujjb7H5gxjeiH73NZIuZvsF1+oMb0smQ/gwZpL8dg
07HtuAhsPFSeqVQMmj+ZY/VU98+6DSjbz/qsD7FPdgCBgd6sHEi1r6ox4c45Y441JL09jFEL4vO/
xBzr+0YH6LgkXHIVjS0kDgcHKg7o9knN2M3OqWoeobG4V+xNte99w06eIFkHvUvHDqclyzNSgPkO
YfrDcDOWzgRwycVsD+LSbUPtO2ro8TbSA/oliqoUB1sZkx9l7/K3ity9UlDmpquZSLOHOANcunJc
cudD4EknjRZ94klSGnKkQF3yo9Jm51bIwbxPKNs5qO9Qt3qKMMq/Cnf/iAvyb3Oyf4N+/H9WLrDR
GeGZUR0qXtixIGxx0v/3lYPb5yKUXf0/VnEfN3FZ/FpD+PRP/e9yAgdxmsemyfF5qRz8Uk5QEU6i
DANhRcSbS832P0sKBHPrhHhTutYW4Mhiz8FS0UbEhJsLhITqI+cnwrRZ/P5JSWEpC/9SYfzsCfx6
stfKSdFEgF42sIiNCSE+T9n2l6f0yaH600tQs6CYYkJD0hd/5i/FA32yqEhA1dtNvUsjW7uJUuv9
7y9xVif96y5+ucTyE365hF3kQz2O/bQL1eCijF3oi4rfA070bCta/f21lprD+RNb3hVRrtBWtGXM
/Hot4bQaDFiD4qJM74HGHfVm0W8Puy8uc9Y++binJW5XJWJY0yhJ/H4dLOZiUAW8VZ3z11EE6dGM
8me7wzzWI7VXe4EWoazxJ9W3VjfeRYnwu8DYsi89qgkxwZl2AnsJvamLbibQBAQEvNOgz32Cki+4
7MWIRr5x+t5r6/gaButt10CcKKqWBCWbKMdBORVL83yIOfSndS9Wij7v+8T+IV33Me7d41jIBLtM
Uq6om/hmQkaQKi7VXre8ubRxw7h6BTKF3IbCFd/qgqyBYgx+KBbC3i8e159vhc4DnzEvhQbkuUoE
ltpQOJM5AiZ0dxk7Xc4FzsWUJOY/a6UtrwWWF9dRDTIM+f5+fy2uPsuprZxxN8bRNzNEMuwGLkk5
2iMnxpViuV8Mt0+GNh1t1iR0S9TA9LNhMJjcwqwE444T3FovKlT9qKmzbJVxoPz7Z/jJh0pqKopI
bP14us5HNiMBM04ncfwsinxJOp3tfnGJTz4e2hk6qamkD1vm+aBGrxQPc8UlnEHfjDgY2LB5HD+/
8Dx9SBrOPlJcukAAFvwQPc+zwqEauUGl5Oq4w2ysek1ZXclRbkO1TTmdsCNC0PDTdEnSRBzG+E58
SPY9HRz53qj5deEoR2vINhapS18Mn/OO9cf4+fWXLe/7l6mqrDE78fwZP657aOoROHjbfBvNCsl6
CxHJRAXMvn0fivJANW1PLIqGebr+Ijv2s3fNKsL6YwjWGftsUtZ6rc71MJ92M4l2tSm+4cn9CqPz
2dBdnJfgfshys6yzl4CBQRVZ3U07fF6ZelPbV1HhbADPfPHtf3YviKPwINL+xCF5dp3OEV3oRHyS
obYhlcJRHv/+u/hs0BroLbAWA/gyzjVw0VDMdVvhhEOBjieLOlMQXEIO/KKV9Onj+uUy7BN+HRkB
6TlONLAUZ8ara1EmjkErSIoEobH+4oY+WVtcmtMOenRCwMky+P1SgrNRI/BX7uBKnCRMW0/PzUtq
v8uMvnO0jqOk1l50VrMfqvGGFMw3PrfGsw28444x70ZBPsekP+uReltXLUdb0+xQAWJ9M6r63UEq
HmmEqLnV9LNRQdeTjHThOsNj54TXsab/qOZ+S7/uvhIIiuCn6V7WDdFK7+V6TsObPKF3Rm2qW49N
dcJA81JN0dFy2pcodzdE3+0dtst+wy+3AYijjyRQJypWYEK/mLE+eysm2jakj3RE2a39/qgyUBV1
UvJWKFe/Iyvetw3bfjmO+0bILz7Kc60jkwPqEevjm0SvxZT/+8VM2Bwx+NN5h2y/J16DGp40KUPX
YheOzSZM4+8zcg1MMOK5RXZsDKL4amxwid9nTn6CDeWJ1pdB7+psfTMnRNo40lQkLOqxRzGBrnWb
WfYXM/Sf39Rvl/nQrP0yDf53L7MM5PO7MVCNWks+L5r/s7cXRqXFwSrm7dmtJ4nTafdmDjq+2Yzy
4YuP6pNL0XdnV6gt/zgfKLGQAjKuOVOq6l6LJTQgrgoPDuY/nu1s1BW0JZc2lcWO5/cxIqqoz3Nj
nHewgkkmFB6f1H/nEu5yaFmUO/zj90sMSWswEc0zsoP6La1UlPrdF5295U+cvxgLDKttLNJi/XyY
2eFQTyltBDIONBJ9zLeQDC86Cs7VkJePBgaUkgnfD8pMfvFBf/qRWax44sNOj7v297trI0jeBkrU
3UC5aTW5Yp0IjMZuZuBAoqJuqH2xzhRxcLLojWDV2kP28vPvB8ufSxbXZ/PIosiZ6I99ECRsNzMz
Ih4ocVxFfXqoCkN+sdWgUb2s4r895Q+ZIINRXx4y9Jvfb1WjsSQVw+l2TgHlRyfMiKQg8d7U1ANb
ZP7DjswEZ9op+oUlN+R2rF0By5dzA9E1ynd1eo7z98TwtHo7FDcKJPvvAIjn8KUq1rlBNNmdCCMv
h3aljVfZiJM0ILFI+14me8R/Bx2vkPvsxtO3rCuOepFFfp918To2SCkrm2BvK1TrXGtlaRw5dCAy
SYZgFCVpLvTLKKrfqkVLHHxXf0bEY8qeHECiHmeXkw6sGhuOQ50Ya/R420kAblHsTQ6raZRA22FO
jS308/cK9xTRsM3eTXPJglqA2KASFhSUfHeCVCfiTANNEub5gj90VQB4s3FFNN3kFePE7h62nLmS
CvbI0KsN9SiXmp3CjzQLLOiy3yxhcinJMpFOTAMEurEqrm2t9Z3KvBm0/KIannFg+Q433WhbpvdN
QaeIPJ2OWl/6GLTaLb1sTAUpMk6DtGbN2UFA2wvgAF10ssq3ONuTBABpofJM0HwuzjVNUfddiHtc
Qd1MjkiV5NgrKLxDR97Bhg/ALrO+B8lBFTnidNhqTaZ5uYoZxEi3KqxvuArpSqIN9hMDCTKKRVsn
cMv+RiVrwxD1dfwlbB/u08LwLYgTk63OvjkKkOe2ve8gDXIM/U5PpoyJExQodg62S6wPmp4e8Ie8
ilIqqmZ4WcnbIfzZBFHPObJZW+V0mBpa07UTbVt8BdhfJS1bSdEsvktj/cKNALZE67wlREsO67Y8
UCxT++ZpDDvEAP19ZBh7M7tzU2Nj586FPc7bEtdpaw/bIrizST5Jw9kvasw48iJBM0VENE3J2CNP
BnDcrsBDAwlYtOWVZbg7dzA2dGqu+46a6Vxhppd3zI8vgXtRGtpKM82rtjG9GLcwBtVy3dJWnOIr
3Y5B1lHaaJz50ipnf9SiiwT2Uwymc6VXBFDBnMLuDd2SevhEklnLAK/W5B56FUG9hX0qZbgynbsm
XHNZ0yTl5aYa36tOw+d9avWNBHle0gFYnIF4743uVODNDFcdksaetaxHS6BXL1N30+W3ubJzwl1s
ArI/6uVVOOlr0bO/fw7jkyb96jmPjD3Qq14eKp4YLT5hPE8jfCedgrmDx++4pJU173UlMCemns7T
mu6sFFiktRH5c+Pc4emPY1yCSvTEORiFK5EF+nVRPKOY8DXtyugCTxKn4rgrp9qG9DXTQBIsJnk6
tJ0GMoA15BOFr3eBHxbCr3Lh2+YFTOm1HU8HZVZ3LlLxZLQ3uj3fmMWdlv8c1Y5Qqn0hLozLRG6D
elVntUfSCu3lxtrCJwS4MMr5siX/bmUpRGiUdAfDtnrWc/XUh4G7s6XO3qkJybYs5tVggrtoo2xF
TEZxZRdyrY0TgUoQXfAOHG2K3rPaw0wMOSgSDEDoGMoQr7IF5HKWDPDpDtX6Lq5+dIN9aHu2we0A
116hvdFTSwH85cwHaoK3SZaEG2pKkW8lCMlDTn2Nq9KeNvmFnJ3W/M3QM8zgDWogIhDKJnurG6pd
HNuzryQa5i6tu2ss5QlVse8Y13XcHGdR/Eg0bR05uESx5tMT6bsOSiy+mHTYp2Jq4PbbAvBkSYJv
wNdRFd9mZCmE9LWYFOqJ+KG2v9BSUkvG7MoqNL9v4TzmeU6vvVA9uy92ujGbu6wFRk5qU+TTLKND
F21UK3gI9Rtba266JCXgYPRN6BmDAqjC7bf0Up+6KRq9GWSDNyWxsiKfD+KlGMlB0zdq2DsrigTf
cZ09j0IByi3aDXr2kS2/cavVTFZpq+05M4xD5Edg1kaaIXRFj/OkGgB+qV0t7TE0KR7I7OsgT3+Y
rbihac4abuLAa+LkVAfdHnMytU14yAQUO6tqjE16rtYT8YKnTE7X1qg/qf1ra8bXCblFqWYfhzo7
uqQ4elpV9cx4/Ss5bdKranFPj5T1pDHpDD+BFfqhQ3Sn24ydW5t9yYyfSvVIRMwdr+5nRPA75cG3
pupMXr1yLJUZF+ZwAkoHA7e+kpYJiKO5dZJuQ6YUjOH5JW9MRDvFzLSFeqPrUV+ORGHokqcgqlWG
6iW08kcxVRpLE3mKfAOTm104aU9uaLwz7G6PJALaWlAdh8p86loZsRAXBwDtb3lg3KNWvYsn9474
Bs23cv2usoMDWIsN+pWbMrF8O4l+Rslin1C0F7mASQuNLHsF8PoY7PKWXrRgTI0uKZmlqyi+TdY3
KcbLUhtZwTpxB7JwZHkY6uK2DMFwSQEbtdC2JqFurU12lI5bCWhSh2UpG6xvaVq4NJftwE8WU5mL
VcNzodhekQiTebbtbAkyISxdDHdBo90TTEcSfFte5Hn5BEzepzVGY1mUua/NQe5nMv8WjulLScZU
4OqILpo68d1KvoqGD1MRDYwHo6nRQk1ybdtluIVwdRtMyrXSFJmXLBLiOWwQw+iHSIFbg7XVg7Wl
rsOiVVdZ124cNfIh6+C/43+suht0JzkzoU5Thz0Jn0sjyGiyDEaiVtNbrjtnX88WE5Ng1XANUrDr
zsRn2nVUXwbKVGENtaYf76NWe9Cy2jexu9FXdR5K3LsrRwy3NQ4BTx/ps1WZsorZViFJy2EH1Ae1
SfcKCmyWHGujBOF9JpQH3JVrkVNjG2YX9UZ5aOsBpyjS2CZhwaAwI5PsWguU60bNrjnZ70klXA/G
fN3U4ojNnjN/nD06iXqIDe7O6jdzQpZuqoidMiBtq8Z6nQLP0rRS8+pKf+wKPk6isY4JiQ9+pSL3
CRSelNaL/Ki6w7FLSnyxFdzENKx2bkE/zbULeM725ag4hzDqb4psfg8jogiMBB+PHNm/GuFjXuLG
QWrDhNjQyreo3CkNgBzZZKY3mF2zTm0Ll45IvkdZv7YTQP9Eh5Cm8ohDksjBuLe2mdRoEmdXgVkt
LCJqGhTT7zqdbd3Ymj6clGeYAleaRa7L0Ko3uZ5fShunSEUMqlklyWXX6VdQPwzCY9lA2KV+O+tE
VC1ztJms8VPBHc1O7MdxiKbTQ2uGkd9k6RXcpG9macbIWzoyNQmr54WInJGr3DozFf1E6l7hDqdW
sgqx3VUT83tvpw+JgYrLqNHmkTe1QalSHcx0JjhWI0uiDKCuakEI/bZdmZ22m9IG8ZZloJqrdkOj
vxSa+Y7CofVVSA0efPh9FrG8dGHpHvKOtXo5IvhBH4QIl+p0g45eHI2yrynsQ6PU7RNDJN7iGkLb
kxMHBzCabKV6vshVNpOx1d8FRnoVdwOgK41YPeeEnrHfmIb5Q2nVDXlrhznAGlUwYkkAM1ZZq5pb
LbQuiHUi4qnk90d7q7XXAiJBgwWfnwTAhNx3tN5PndlutKK9oijtpzVLEorAsrW/K2HDvycvCNIZ
QdtQSJulie0TxYlbl33LQO+h4pRidBm6sewdpjqU0nITOdyzGx9ituoOEheGzlpN+oNLUNrcuwlh
heV9a86bfJxoRCfTMaLUlBG10REQiV15VWt4yudxfi5y5RTn0zPBIhkkAUzqMzFu2nwSvFpgjdsa
bkWrjNdOYz6ELiF6c3KjKq9ZuJEzJwIYvvvZ4NPPpbxoYnSJBiimhCNIRI3MGTBStMMGa8s2adq3
QmmeUBr7vdbviyr71moBsii2C+LUET/pKKpfszeF4k4I2/CEGghXcrNuDXWlymA9i+skybeEtK6q
6rWaiPRIkQ8NKbYk+v+1erRH8U1KfdMjD8uT9KZDfjAYR6RXHIpRYKjKM9k4ByGeLNCFkgTf1Hmp
bKQNxkGfH2cc1tWVGr5rfbuXFbQj2taDrt45Djy1Fu/CvM/zap3V1pZMeyKS3dNoqmt9aC6l2Gvy
3jX1NQvtGs/YhSPFLdTAXdfH77m2L8oHcrCAERFdDMp5RUf1spCkzze2b9hEBofdaiJspVzoRC04
N63YmBUPD8zwajKI8bar/ZzLLXBgQu9H51pHG9gsbLeILUVD5CYiKvYTnXwJiT2GsXQBtHE3hoHf
6O33agj3aI9bDoTdpcq+1wYVaixMI21rB/mp7Zh6KQ5rXmhSmFEmAl5NqMyOSyeNhFkvyLJD6BQ3
RqKfGsu6TnOyjkxyrNzhwkIiN4DTcdt23XE60zPrLY26W1kRyZ1ob51G6CHZDodZs9djV9PlcqjO
1kz25OZOxv9i7byaI0eyLP1f9nnQBi3MZuYhEAhJEVRB8QIjk0xo4XAox6/fL7prbSqzcrPW2vap
u4xVBAMBuF+/95zveHzB3XFsgxuzw2BQD8/ZSL8LNJjltMc+mD7mhe5GDasIw/oKXai+MpbvdV19
thTiSA/w8qe3wmkeBp7bMrkpOTGiPe6qdZm4T7V+OWSgL0VM5j63BZORAfvkEVbE1l8yntangBTe
Om8INNm50JGadjmn0wBXQX/IySJf9UV2doW1xSS0ZSq59VRzlhn7S5fq66RlV3SHja7yXeVp13MF
2Mm7gXgLyQuzEodi4pIOfsVrviQPM5iyRSaHXrOeWBrQcnqwmdW1OdVH+BcnhqbMmEO/Nm9BrTBz
Lk9LMIexrR9kJrb6qG8CVnNNbBmkhSpxrsoFmRfpieuAHKEFaMQKTdpuSVknNVICEcGtcHCtjbLf
J8BZZoPIMqTBhMd+t7LmwVUwH5Bfj49oft4cAuXQyh4cwhFtvb0j2oLgDWtD8uql9r9Edxf3+jJd
NbLbWK276nLzQ2rTCV0raxxKsqItbjQJXk/r2HC9UdAYcKLCdj8yp3vKAGhoI0DLlLRnOezQekfe
0p8RB+3R9UIQdg5Q8bblBUZWXDhoxiHRASpBEd2K5rY29Sv4aOuZxV8zm9feuoiWh1vosFGe5TcA
RVYCNZJNpJc99HvQX2szvmzCw7oQ+SsPwvfeVrc5mvYwXWQU20kWZpM3U3IbIaeU9XgJrWZ6Fds0
XDUfBBYRH5eYZZIbakHGVke7xrLX9pDWK/LtD40AqT+ovTXSyUfiv9V5X1HDq+dJ9qfEnHdMZta5
geRQBFtXV6dBm65iXHVegl1JzPcZJxzKAF5uErZNRuEuf6w4omS887WUZ2IqVplsbwtdh05aIvlZ
Yn55fJqcBLw8t1SX0dAFyCiD5gteYlSPdwLXv93G0MvMa2uKP3CYvtqtaYZt3t/4paKqU+Y9jDpC
iqf6XWgg2I1YPS49CKdKovkz0fHVQj8BFzh4ipKmNvaTYYak+ZF+Oh31Dq0QgbubbnavUh8wByGM
kUYAd4t8agTwxrrkhGaPTll2UWeXQBJH0NomIQ6qZTcrD2UmOUc2SZQ13bvhkKXc6yQIAiELZogv
KILJ6nWjlGSsnrWp7iaynOv73kk/65I3ICnq9zHQSXkzx7Xm1wRuTkehq1d7dt+1zKOb1d1MbC1p
1h2qWHtJSMPy0vFU2+nGxXDV+2nk5rwT4OhMQXKRWcptjdAX0s7GnrI1wU+RTYXCKZV6HJmaSu5T
vrw46w92oW38Waz9rIBCKD9RaTEmsrFrq5EHuJsOGJz3Sy1f9dTjXUQLONIFVMYECEPde7N94w3y
COMS1aZJdjYg+gO5Ga9a9wmzhiUSe7uZW+uF3IwWFpxXO2Hn441OdWZR3h2l07xKdHe7+OZunDcS
bTIS3VVCXZTV+hWNohVkqfUsgWEvcpfF7pVLf6fz4wuYAQJGui6YNHD85mbG1BCQRWBn2Yy2DPMm
nYNHfSLXMjOOufldTO2pTKuT3ftHfEmPmau/E1291jh/JTqoLhY5U6vuta57k4EkcjbuNhgVDAI7
nXHP6IFpmrHcABhj49HXqZ1s0CyuvPZQaPEqtxCvOpr+Zk5szKLYqt67NVWs0elbDsliXlVxtieW
fYuMcjuM5Otq0w0RPCGUujA2rCPMuH05J7QzKX/HytzgI+82ZX9hSATU/jZ8E92prkkrheKmlibK
NOpozovaOvZd+POj9pr0+dmgTtoPTjFfDV7bbsAOQdNz4R+IvnV205ieLXMKqKx7kkza8mg0zjcl
yfAq6Lqv4kogKwkalrPxU1fiba61l1qjj8JD2FXjk957YaX6U5ra3zi8nkjUPbMQPU0xJ32MhRGd
b7Wq/OZq8aXaFKPDW9dqZbLSMFlsbd9/IbXpYybEMxxs7eSMQ4/a0GZN0xJ9L4rxY6qSrRz4cFo2
Ej55aV963dOg9J2LGYXjab1yBA20aTmqejmZupr2YId6zuS6HlqS4ksLWPMNGbrcWd9LrmYFZWcx
re+Dlo/rvsmZro43aZA/zvpyg979VUzpKacryp8pIRTRr1OM/LSiIl6hIUuxtoDzdBXImhoZUNa/
GHV2Oxf1R62G7ey7m5rGQJvLs1dZL17X7NUAxq+xaQM6u7gBQVbG+3iAt6bTVZEGCcSlseHITx+2
JTxe0+77nMdXas2jn7d3IuuI9FxuEKsehXRu88ZGZjrAXsH1sgRPTg9V3FS0cr3Z+xaM+u0kA+rB
hk+T37A0bIphPM2W/zGVcIQ4rLuKDhrphVXVJqGTOOaq94xXsRRHL+6bcBzzNTTWJxxaT2TCLJvR
4m6ChZXbJEZw5HmXPFDE8r0UkM/LiGDiEyF+tENacHBGu5cO5lJpOHsgIS/OXGMAdzdJrQ6ZPkGo
A50ZzjVhpMJ5E8pdq2GKyra5kql4gFzHgdZBnzxwWu+jPte6MDPrG1vmZ9/LvlVes/H65KwcRuAc
jPEhycfSnJ+k751tj7Z8YKUscpezds2CPQFYE/WWQ3gLHXjM1r6dEr6nuR+Glyd88g67y1Q8+J0d
AUqPAt+PVAn41jeI+dTuy7i4JvgmY0o1Y9oQ15OENNpqevnPYciES6KK56MhfHuVg3dadRzL1kUr
cD6JW79hxOZ036TbHXkvaejqMnnCTneSzUzKo4zdY8tJ0XKGMnT8+SpbXCrAvKLJq+N1yt17UrRu
8sHIVo02HeWgbQUBLI4h3jzZPqCtP3Bu2Xuls28Qgq2MvGrOhW1tXCfdJI59WtzkadSmD8/SzQiw
M6mIlb2ZZkywzKBZSvq5O4xpLbdFZ5zGwnusNf3bnMh7oRjEGZpDinnaXdm0NbNx2dt994h9b101
/Bb692FHVBSR98VpSAyw3aONwaDPH6YZqS1DTp8dieKMoIVxW9gMeuaqvkKVUoYu7dSsbg4GhmO5
GPM2XhZ4H74HAtzKj6LVWLS7Jpq4q+smJxTRm1LqgZEw22Amy6LNTLg/AdnlQY3VRMh3AW8jwvxC
qE+hsNcV9tsC+SokAmP67EbTXOEJeUFwvIstO4HNI8uQBO4nWVQbtXA+lON5TOGSxl1y3U7esRX5
xvbwmWvK24EUG8JJVu6qj8U/8wyw12UhgKYjjcOT2zIWaJL6cZEonAtBf7xzHdALvf5EXaqAPHIC
U3qz5+T14CXBUxNY19MsbxKWhpUc6vZaiGE+uQSuDZ74ZhOMwteIsMOCWVbLt7yhQhP6d+xHd+Yl
3rBBvBQSXD8y7Fqol+evbrGTSMPUCTBmfISG8aJ7812emed40tauyJ6ZiMqwIaMO+uP0WHrFW+fx
lsaDFlbO+Ix1kOIfqjn1HCHVZBSt8rS6MubkwR3Kczp0fjQbktqYcsZmk6tahauoOspFO2APvE2E
tcrn8W6xOv4PTLd1bYC3ttrm1UoQdLl8pdD2dwJHYOzMHJhTESajeZmFtHBW04jT1SEdlrtAN3gl
s6NPTUSUUHlQpvExwg2FYu8/M2pcw4o9Z4FgXYHkwZFjipknTf69Ymfb66BK4fSVW9/MT/TCuV2l
463gQXaRVzHcc43pyStMGkjBnW+Pt+Xi3RQV+fA45cck/d53A+G2Rh/pF4iMEzTVOsNJv8j0kXLy
5Cntphy66y5LnrzJ3yZFfpcC6495xAiq3uf6yFw0UAxZcMjlGUl36D9pICd7u4rpQ7d7zOfPqcw/
alqXRj7v80rcpmnx3CrozcV4cJo83hnWtK0a88rHg0tC8EnF6UFM44ceeC/K5pidT1st1a6xnB5F
Eby4+CMoea8ofZ991R1tS1v3dnyf6f62YonFzPY4FpzyYkB+hn7OoId3absfoWIOqImwepBx0+pR
aWlEQI30jgYPC3+R3jp+pYWCdahvmqg0qm1X0KrIAAIY8RYWubfqTXFobXG7NP6dUyRveeoTaNYM
TzAITnPzEMj31rKePa04YUx6tWlRpN60mzj7kd7aRWWMFkF4H45OERE5uOx4VKym2g5WeYjd9FW3
ir2decdcI/U+qba6S1hMyUslpvJBds7ZZyQ8ChNhaCYerdq4w9cZSjF/Vk51mQzWR7LKDktD2zZd
vo+LsXN4Uy9nltwoMYzYhyCGBmXY16WbPBtTG7kgWvGektvTaec47u+p6+C1VzJCQxDTk8cyQBpd
EDDjXFDrhlIzrrsgPZUzCYaDd5ggrMBUyHe8wAgsxluzXVDLwTTurHAK4tMykNBbNc+808RMd8sX
qcxWZNrJ9ezn3+YLQ7EoybySVOBBln9mbbrTO+v7ErS3Dq14yP5HUUMIbDVPrZA47YHDgwJDEMPP
AGUK45EhCAox4t3YsDtWpMKZGJcHh1YabxS0jJe67nGUONCG+GaKPWOlCFN3i/ljzutd7uPSRfdE
44I1bVVLB4AnYxqkeVcY4LEQ36DKBq9v0rlvylvHnt7SxnqoeuspmbjBnHglmyswUx3GP0nw59Gv
7kRTPGiVBXR8eMPhvJ2b7rRY/R6o2Y2fiaPWGS9LEXzSWsA47cHSdqf+wXLuGOndVmV5YwfTNnfS
ozkUVy2ZJ6OWbWTSlquSJ1WZdqR8510pMJELSUA5k593pYlngtRDrcQhujS3ONxfFNULHYVrZl0+
2juaMjrWLUMgITJK1w3J+72eCijs9Eyf6Res87z58KX1Vct0i493rzx5xxjgNRHlU+mVrwh41kNd
RGNBurZL/pkVR4BLQuUS+kJPbFWjSyFa0rOw6qWn1jf2sqfdJ/R9nk33OGXPpNREi1fDogdU63ll
xEt2J/qarxsR3piaH81I4xDo4xB0m8VUdDt6rDpBpCfFtk2YBplCXldCvjiTetPrKXRq4yG93H9B
CVZ4BvTFEhqNMcrnWYwbJYnULGkvd0wowN0DiSvie19o3jrW6sduLp7IRgz2MPj22MGwgmXXs8zf
SZ8/WAOT1alPj01vAaGZ4d70Rv0JlS9SvR8iR7tK+m7H5Pc42AS79QUdFIj0Yl4OQvS0PAL7roAH
lPtk5zQxhBOmu4G5D3p7ZwlBrB+jA69hzR+OI9PgahrOQZPfq0xnxUkfRszGm9x1t52hPcQGNcdI
V5g1/Dv4eZgkGgePAPiZl7w1iGKtQW9X+iDOwoY0CR4UPQ63gFMB4QaqZhlpv03VIwmjd6XZ4DXF
1WeZnnfVSZM7VpTtundFsc70fj8yXsoH5+hwWignE/o/RwELNmTLME/z589lOrjBHQd+zFiUAeV6
MDlMFQrhQ7cjrg5nerkGs7qzO+c4WeSdkfASiubNJIVbW9yPTpRB1DZBHpE8s84qb+NaZUjYG5Sy
j9bR+OtjRhdD8qk599hDz12Crzh74KO8pJe91dWb7cxkZRxJOIr1d6/WnqrFuNbLfle63aNP9kdD
brWu3Qg/3aPNYqSwoPEZsNGP75lHDHnZv5VgOzk1N6uM0UnQUPPiWb/Sm2Jf6/Mjf5O7YhS5bSd9
18fgBJqPWTlPLQv1qk9RjXTHovp+6bW1Q3IvLM4+l6wvCzJN1qygFx7IoV4vgfaRduk1uWpbQeci
r6w6nOgQamJmxCreUtm/5ZY2RSZxcStXE19dzAHVYXThFM0ZrsX3iWyAngUcz7jYFXw/uhq/LelF
LkUPuayhnxbOo5VyMiTNXhEDtAVQHdmi5ivya5xm6jCPz6rOdjAmTw1C3jWijHVDNMHo21cQ+K/7
OI0ceoqZztTXXr50GYSVprIrGjqPhlPuW09FAzZXYjkkSXj6vV3BwKbUT9cmnZG4p3Cr2BLmQL/J
igJ+vUdTRyf3APPHKpmsK5Lp39LZOKpmpq3ARpYuHT2s7IUg95aDLpuN7yw3DVQ/fcYs15L6yJG4
DdOZ5cUJmJZYAWILy+pvUQJo6FnTfSA8a+00gbPKbQ70VaK+O1V7rg3rwSZ9Y9Uvnb9izv1UjCZL
vVmcPCs7uEt3ko4MQZJCU0CMRWzFaWrnz6EodqMi0FsZnzrpfVo7sdwt17MxzquhkQ9pPbzkAyRt
e3m5UCwGnay2wr+avIxOevrRpjRMNeNtyJIjMps9oPBdHlxa3rpKVqS3rKdluILjeG5TsUL9mYdZ
iaeW1HZnsQ9ORiUvxV6XwzYt8D8HKf5MF440s0/Joc0m3VtoxpffoX2zomlCH2cW1JhG1pE9waxD
kl0gfYziGS57jwIsHsU5GxTPQbtsZqFkaFr48TOAnowko4a/2Cr8UBvd3WhMdMPZoaEtJ1GeimVD
1buqTPvdzGL02q0iGlUwAUy84HaCZLpybHWsCus4ldVeTlCDF3u3zPKpUmm8IvToQGN+l0xEVaDk
MHVIRSbYYIn4/qBGm45typ2VF3a0XndrmIdHyJFPg5Uj/1Bnjmyhq9s7AmzXpc+4Uu/dszdoFAYe
GyfZBWQELl+9ZrN4L1sPgTEs5FMMuQYFBsmGJsN/Zx7CGMt4AV4ydKH6mwUCFodyLSH6XaOwCN0x
eVSavNM5fJWlf230GpHAI4bWCiyiCKoXEGTbIVVEgC5VpJs9Sqq2v7Ybb1zNcXUjVLObFGvAyLSz
H+cPR4gXy0SyMBefFeHY1tS9+hcN/mw6T3Xhsg+6/JKkTW46rLAb2dFzXNL+juSUW/uimKPX6cqx
JD0kZRch9MhWDTu700dM9D6nha2iY4xiesNHktZHvTe+M/l+BgW47YJizytEV4PJppP7iMWMjSuJ
SEICQSwkogEHCoyZIKpJE9Pd45GOt60aN2lSvKPFYFroTirMloYy3bpVi8szuaDi8JJqV3Jq2ANI
+D7n5reBCJ8yWC3OSZ8/54FkU5T/hLiwXa+8+NZxvhn9etFfdH+DfmHlG++dRhIwcwCfoZWS68R8
jYEaduOz0dnAqb+Q1a0zphmS6F5a+3q7RmMeOkQgQQ2/pKLEkKKbEQKAviaqblYbr4hDHyiJoo3p
RSMLSIsqYaFlfWezNTNzpiBCrYRuLiOoe2LhtEAxoBEbP2A0F8X7Qq8+o6UxEy7TcYgxMz0K7IcF
RPG4E2bDDKejobAZzCfOlkn26hNPoC/Iv6eoyp4H3AV6kN1O7bYm8Bb7wT7PfUIxxpuxrenqPjYL
K+mr9Ml6tDa9H5GysTbVrqJLoAh74Kc0YZCx0Br9wEF+I6ZPP3scJ3T5VlgP3VqP9wtPbN+/LZ4K
87wMl9wiNwVdYHBHvAFLhTj3A1ubUTH6nZlcwokoPpRXsfp+FbnxHk+fMQLvJd11E6lByUEpbMia
QTAGz+xb3N/ESJlTcjQr3BpB0H0UtljpUnNWHC/CZb7yNWtPMM0du8Wr1GCWN4gqZyblug2h0MHg
PCORHOCj+pCj0Lcx6zJvaCzgcHDvbHPeB427Uxb1iymCQ4weUVs4sJgZx6PszDsWjjlJYyC213aF
hkLoaw9XdG6DRK94ACjtVTswAL1gmxfEEH5US/8ekvGmHh/akV7FYkbVUqxhaxMcqeenBFGuMtJt
pzU0ecrV4MJI0UeWRuuAKXtNj2bfecRiJOODwwanEPYh2Yh0P0aaVO1z3nDfJMWq4vFILTZhpj+c
GfeXaIMqNp/8YmFJcdub1vXZDLrRRZ9gvhK99tFkFsc1leFBt/Gz82eZnPLLuULxWkOdu0SAxX2P
YHKkWzpZHmkyYEj8bPMfTZPB0UfatHOS6r3Iuq1b20//QQ1IuAsdph0+pQfHLw69kf2Nb+OvinIX
vi9uYOY0HLx/to7ogV61Y5YqAPRHWCiEbf5ese7+LCXHmvJn28Hl538ybGSD2eVugCegfvXssP/I
5yj5G5/VXz8CyC0sjuAHLxhL/ycDlJU2aDNzb9nx5SVUeNq/PsL/H6P75bd8a1pFsyTt5X//5x+/
df3ev//wD1Hd48O7G746df9Fml3/3//5L1725d/8f/3hH/S5R9V+/df/ev+ssEVlEpftt/7PpvI/
wHTcpv+7KX2dvhfvv/6P/mU/D4x/mA5JF3iodBtC9yUO4w+aXfAPE9Ad3qaLF8LGAP8/9nP7H57v
Xb4E0hNBTzr8R/IP+7n5D98hVlHXL/aFwIMF93/uwOlf1gNu3r/uyB///Gfg2l/8OYR9eCTz2jZG
TQNi6k9P1Vg2JoLjbufDBzILzkw+053WL96NrNkGef03zpbL7/vREIE+lixg7giJf7iCfryeq6Vy
7hNwPhdv6mqY6uA1k9LdEnE3/w06/y9PM5/IBZyPbxAfDY7hHy8l9Mkfs8URu6ViKJwzAJxtlKd/
+rJ/cf/+8lZeLuI6hq6bZP/85f61BBh6ZUf/3jSpjjrzzWXrBClPshyC/99f65cfyMOc6v/TB/ez
ZafDjZfYYyN21ZB0tzRLbPQQer7/d64CKpEnQvcBrP542+TsWo2GwA+2dYq0/7IupwgGf3+Rvz4G
RBpc/HyX8EqTr/rHi5ReZZB8YoidQQUOt0d8AVEqTrhYir95Cn59JdcFCsk7c4E1/LBs0o1UjT+N
Ymdb7dXEJMCDCrWStnj+/Sf61ZfjGf9znZ+WZ9W7jiJlDsV4ulyjcMvo2HTb31/D+OVFwNxcOA6s
AT/biZhWDHNlXMrv2V0V1nM5byiw++baQLvZkjlebuH43PM/Iylh/HQIkuj3f8Mv/gQylEzLtjCu
Xl6tH+9nE3cNCNxO7MDlAgwatF0gKXP+nYvwWKCsswL3n8D/P+11plfhKYSPtSPTTR3zBXg4wTfu
7e+v8otHgxfW5O31YfITMvHjR5k7pTH04CuzCYPu4ulOyP5AK+RvnvVf3rE/Xeby8z99mBnhrQfe
kScjoZMbiz0jtuzfuWF/usZPT3neYYqsOz6KOyfruR5QkpCz8Dcf5Bdr3Q/366dHHN98Q4wYFxmM
VhJ7jaUtgRx3AMFoR4ZUxvr338/PKFATIIzpIqgkI5a9yflpkZj9oFTkxPGhioOsSC62rmlTioqD
VX1bzJvfX+1Xnw64HcEVl2tZPy8UTB2RnEghdr1ATZt2ebaf/YLRsBBfg9/pf3O5Xz18OP8vW64P
yPrn90jXAloasS52aEpw0xTCCEe7TN68IMP/8vuPBrGaZ+zHbRcbqcWOy6Kr46b+6VYK0560hNbT
rskzdJp9Yxv7BBX7RL8or6at1Ux5Eqa97k0ro/aMu2FyvmBDDs+dR7cDDUVDN1qlsEv8kglFVanq
HA8NJC9bo1W40pAEbgyns57aQXP3y9yj3Itjf+vJGiWPmJYJHF9Atn1TeB6pwkN7zgfKezPxhmsD
KsUqS/vXeG6Qn/k5lo54zoazcrOvadCdaIxdEJGqPOQc5YnrqRDcUKl+wH+kmzcr9950jWQzuzEd
v7Idn5KcWKOEWGkEIjsCxxgwbI02fSVBu5UQShRjRnsUVLmy59peeTFVJf6jGbtBWLoT7S3HFRis
Ek5OJlqYpySls2r4qn5vQNSiKi7aBzHF2bWw4X1ySldiM5vBtsK0uzYb5752hI/igHP00menpLrP
mJTUgX21xG4xrEZzcd01f5p0NgRbt+5eCum9wtP6MpshU2HXG/zSqskQmMs8IJ2rDPOKWOckC15t
5cXbxkUMv+p9S3Dk8CWZaMUHoZkF0tdxqgjWi1tGQuKSlgAWMkW8ZzOJ3akcab81auhNtPrMyR7w
KA2yvgvWdkZb0iW0Y4YH6VVIO21XHWyjnJ51evShfnnNi1wHsimYwRUe0zGUdLSmp0Fd+T2xqeXF
SpHGifdGYx6SOIHepSbLb8RlN2Qxxg2i78aEeND0rUnDBkU8rQ46dAary1bExfIh7V4rMaQS74Zo
xof7JY1kePOlgQadSNPGD5FZdd1VlwTpJq/agRbMpKLeVOOTr5p6b9Wyx9i2JJxZMfq2d61tNG+J
8mg0xEvmo3mHRXnvyqF5zhdsRY1+mVP61Wy+FTFxu4d5GrS3DGIrA2uHtKl+GBsrBDjq3mV1Gq+X
1oVFWTkpqY8ak9wpcPRPq1+snUuPBl2V8TZOEweWnqGwZbs3NczMamXSll3bsDAPQnVTyB+I0KHo
1Wuaj2I91QpBHYotpoV2MjI58kEP772goYQFDtP2634JJnCG4DYQA2sk1v/NYuHp5o+LBdIAjn9w
tA0PlTzg+582k9pC4UnKHs8ZMzUmdQwbeACJ3OaPc/f9slTGKsV0KhOX2aITHObON7/nuVtddMTJ
tWVYhJw6fbJVqY6rpkM/Z2mlvHa6HCdQgPLcLQLE2nZ9xCCRoPf3rV3dJPeDl960vg3cc+o3Qzrc
Eke9EvadmIUMObpD6tXa9ewvt+2lB6HKsz2+q0FcjVpbhM5SfRuBEHJFOhBNn0LRKF3VkTHYjf1N
0bVI6Z1ObdC5ZVE/oRXUKzzgkaun9ylB4VE+EwTi9AG0+4GmKOltsgqzatZiNBZttSU32byW7cys
Shk23VtNXoN4KTZF19l0zLqP2pOYmugFNGEMBIpeucw2+DXkVT6TyBNbFW5Q3Cgf3VhWr31a2STE
uDHBEEpuehDIdD1QlG6F6QT3E2io3Bj2QWZ8Kn2CZD/X1rNV6fbDoIHInmecvouZn8pEr5CxBPWR
J8R/7RfkWpjo86NRmc37gOQFHwBD/bdl1KdvbU1IRKyXxlW/TCOSY2ahH8lAs8TvjOSU02umq1mP
zLIrbDIrq/MS9N+lpnthAFTmI2OJvzJ9kqctH/EvEkSDcUY3PMyymI7AewC66rl/yQD2kpu4K/Ih
zBFlEy8bzO8l2rz3ZijGk8o8bHcKEQyj42I6YU+sUbcNrsKT1kgUkLSMURSMvR7p7cXhxl9uPdQe
sRQr4foPcnK80NL0YDtbxnLM3CU7V1mHzwMgMmYbkxC5e6eOsTMSj3Hb1GgPS9GPUZnTbJ1JvSRc
T2+6KPPdPsogmxIFq4xL5jDxpU5jFFelNWcgapm5kp2nHaCeLhGd+xbPbWxga17MxeABqgEb4flI
QzV9jCJHYS68LVk0YIllZZ9ROwUPEECZA7jw3Uh3SK4wXtU3osvSnSaX5RrHbL/uND99GZI444Yk
b3pMDUee4jeYsfnZlRn2PV3qkCUlr2SmZlyeHaLvoR6fqnxIVk0/HNssd6MCPdweURvOAA3BWNeU
xas15sWRYywC7dEillAtjE0oi78Sp1lu7EEM90sp3D6kHwpd1ispIhFwrBLTOE9DzAydAPqUnD5G
/LW3qwJM5HE5pFuj8dOnYsZexviiipDupntknlPUkLkcxcCU1lZH/1Qfe+8qncCSaWOAU4b7bCzT
nW2lGwMXPLrxscP1pZYJMKnvuYz9cvfZn5r0TbYs+S6R7iOjaMTKU3Ge7LaCIoxvvMpcFNMzvtcx
WNJwmmeUAvkC/YyMedh3dC9F85ymsXGbs97dpq3l3qYG/tZJDsFNkuosQUGQ3RH53qw0pu3RJXj0
GjMTuhEyfFGS2DoDoKrSSA8KcK1jU4NK0cmOkUAhiqOkcUvBEPQe42wNpbdtIsKaimTrtoYg8MZu
142+fIwzwjd4DWRZ1vAu92SLxiecMvFZ0mSnQ4qWI0Oi4pwtNTNKJWV6PntxQg/bLVIE4o5ynHer
cGeXEAADRVNbg7TtdCE+ZSHVUatpr/PTmntDJ0dbmUEjvnV2UB0IfdZo7iZa+XDh5SMFH/u1ad0A
4132ga5cyoXaO+kNzrBVIulzYvD0MUCWqW1hcG1AlY/eoiLDJ38yYOP74tnqo7xuzNUQLMlaweNd
C73MvxK8z1unM2nXNrRbQ0fq6TfhEsxOYZleg/pGFr7ozN0NHACMR1O64ITUv9Wl9VVpZXHMNLfc
eEFQ3os+dZ0oGOrqkFtpSVila/UbRodi7ajcQj7RFAQ2ETZW7qRjkLm6mOlmwTz6VE/Sp4leLsd8
drVjXnvjulIlqXhe6u6KbpJRqXvNtiboMWTsU2OD6HD46t20EkbX35H6os6aZjPLUB5qdOmX5C+P
srufKs2OLMZvD0ZNoHqjpSoUqTQvSgQVJTZ12ahyd9unagRw7pIVP08tQWwKWMeCjbMqqKMHAywO
wHwZFjDqV2Ks0tOiJFHFpDzUcf+RqJ7qOdU1NEgpVqBbDLh3gg0QVH1KsBp8ay0lXPZepiAatBGF
jv9h1R+zht/Gy/ajRZPeLPTIRPEjKuo0XX64ho7ToWU8UuiHzlcnK4HHYGAhmkJSFTac+hlLFg0F
NFOwpbQmSqB4rSxUFLkzbWNt2hErtwf1ByOpXkBExOcS60zLIHJhTac3weLRTLex29wuaprCKfWs
UGvnJ4NDR+TrRb5LINWytmtn0IH484a7Hk5iS43Yu2pDqFW3Go25+9/Uncly3EjWpZ8Iae6YselF
RCAGDsGZFLWBUaKIeYZjevr+oKy/UgqxSKu2XnRblpVVVloKAcDhw73nfGfbOYa10iWNQsmxNqEh
DJEXJ3Kg3rDqbnBQhhxiVIhwTJ/wXdR3bl+P/GDarGPhPEM3xmNN6NxKeBEEjeS2j2jYKoRxG+am
ZZ2srucwMlBQlqtBxvljlA+XdQljeNRXY0KnlSrWm+wvpOx+DA6SOCm9+wSJka55xjqfOfmM0yv4
0YfRlMzTwey7FoHSBSENA1dRNrvixq427FRv50A7sxCjIFkjcCwftG0UpLBW+ClaFI88Opy52KH6
o9U2ACoGOs76PF3PNFltKBt9kD4N4XzTKO0HG6cR3n9iYA+kqKXFL5zU2DpiE8Z0Un8fZltuVKbO
KLT6pdEEXxjFICA7zBNhwLSnV8UM+llfEmzFeQx2ZETdxtYNM2B0KLwadLGxpw28cYp0o6UBEvL8
2k6RxZD9Th0I13wir8LWgcgPrsLeRFGJEcsOq3YtYxcAB3XTooDLqANDoCdY7hL2QNoKpytoblt0
5iNHRCU3NBpnWjpWfTuW5oXhspMQ9QYq3qWadRSY9NY32ohtqQJkTIK42fimTMdl393uzTguLlxX
9a+ozNCL4qkaJ28fkeS9mrrewriUjldm4KhrT5vqHVNPtB3sEs9ZsngDlLAZxYu5zDXOXIprw8AM
hQ7E4zVV7IPsHRIbhpdb3FZaa2WryI3LvV1MyaOH5MhvSrM+LwpcHqMQ6h5HoHdjgIlaO5qhPWla
0G56aNEc5/RobyVO+pSkSNGz1jmGQjv05fgWE4yBuEFHXosiO37ISproeaup81yLoy1qw4IADYHF
D3HAPK20ymCDq3c2fUFXDTbnYbPehMqFko63tbEwuSa6YKrUWzwHmsouwjZov8SIE9d53OLJp4R8
7RS69IcayYZW6e59hr53i51qzaz0IFqIQW63tBLjKzfLOTU1BN8XMX2CuSDKrNOQYgf9KGkGDmhT
hNG8sCuNyNPlML6cMj1vm8/Oq5dcl2bhEzf6nby4HplTeuE41XTVlE63Rqz7zbB7LmbqwSW72Qfh
TQ+zNjRYC3CuiNwYrqgJFhsSoN17rTT3NuC7SGntXR6DnDEKN71TZtnuKRSIl8KpCXPQR2PvlcI+
aJWVnUG0Q4o5BLjUG33aIAGnfz/Oz9geh7VeTC673ym/sasQ8coE/YXlFo/lWDt3SP66yyBlu7jT
3W4TCDs5Tws4qKtxjJJbB8E0qKKOhENTxjdxRUCANfQkn6iy/4RKe1KlcgXMLqHr0lo6PzBHTvon
AlVDXOYRcQh5u6kQbwzo7XEvg4MSsHo+qRstf9ovZaM/rracFH8pXdI2s5C4cbVKFldm9DXqnkoE
+BQ69OgrYbg9xrjCkM/lv5DY/7EtdRoD9MeVT2qzYZhhLVz6UlFrT29JgAuSZFXxdSitcNg4NgSq
FqyctuKk00Y4K7GmbSaY7czNmP7aWvNT/MBsQEPI3XmWb2mdAvpHavdJ6fX9NwIhmoI3KUmnVcqG
Y5cb5mGzxwO4sB8CgwmfnLiMkE8Lc8gnl1vq66evREpJI1H3JFmfJ/X3odYQSDHZ7Mds3vMiZDRv
p2Lr/TDVNV4KlNKfVSrfu0FaNQsP0TBdWtu/D4Ja5Y5ROXq9b3T7ik8sh7Si7+FsOKgNXP+TIXdC
xvz54n+92lIU/mXIVYp0lSE0aD856SZD9MS0uAw4wr/OedBr6r6oSe/H+pN67M+C6x8P1qCHZ3Kn
YEZPHqxwtNrqBFXGopslmkunJ/8mRJMSJ8Ax8TsUGBzsYdVbBjTmJCSQIyQdBzBXiDiBDKOLWRFG
58dB3mMIvZNkfNbE6QyiuSnyJeO2JjC87K+kzKBRVbdlzpITXDSkkT/ZLaD9QDXmvkF8iYqvaSJf
p6a3NyUc0EG3KMtFUev5bjKtMP6ZOyHi2Nc0+vRaGXPgFY7x0IjKVasoS+cLEYdTtYqkVmz7vq78
WLe+W2lXHftetrdNHHzy/E65un+/OCr1Hq0U4rtOB2agU80zyqTZ03YyuMVk3Dqlc8mU0fTaLe8r
7dQ29/Z5xLmv+LTLclJPXy7PXzaoSSojtmufFK0qEXoA/hO1N+vYXCmD7IUJCb8vBgJtPhmjfxTI
lmu5cOsFSlfBQD8Zo3oAvgKR+p4CgM6+q0rmS69Naz9qhi+5GAqoQRBrkhH5oOOKEbdzNWzsAoxd
YkftJ0vCOzPCb7/m5IvBTe2FY2aiorMe8civQjWvs+nJC+K11WRYdeVhQjHz8TN493GzBJHvTTcQ
WOnJI4BZy9zKRQMnZuMIosq3CMvZ1JJP9+NLvXd/OjxsHVClCYzwZMmbdMNtlo703phE/TpH1LLz
epx2SWQJKh4S0rlrroUeWjv64vonVz/p3v0cVzQJ9Z8tV1ucjqsB4HGaZmG3p6CF4Wx2fIEI+ZOn
ubyik7nHJpuIwistZJaQk6epBTqq4tqp90FkPHkpGicrI/RHSLZUVbTr7eggaZl8goCV7yzvfKsw
4AUfDhqUk0WWgKycNpdbwxuHmpej1lr61k3tbQQe45XqtUvBQc6r6nU8cfdSQ6P28ctd7uyPO6fp
Zi+/wLLdk58gBZa80PBYzlRybOaecmAonGtwXKzVGR51xYbr40u+f9toZxzTWsRap8IQ2lYNNrSA
vq8CZRPOfXseIFqBSMkJP7dBfSA1nzC+NxGMOy06NMg8VkYMY+GTX/LeREJYt5REvrGcn1baay9N
qiRmfxVEAVS51njDkceWLqavoKHtXWCcHadf4EMrdN/6ahY0dTg8f7Lqvjf+ENzYlP7Rs/zBm2U2
1nUiaXAipIglY8phWXSemuZT2QhzUylIVH13//HNv7OtQDjz72t6J3HFeewGIhDs8Bx4VZxOyGQe
V7EhjrN2+PhK796dzaaJLis95dMdmsaGcI6It9pbkXicg+7Cc6qdZBMxIZkgRs53rOwTuu57wxrE
LVZhE+EJX9jv02M/EH1uG8icakBnsA9sEqrcOP8ipMfRkSV/71pD8Pzxff6URZx+TA4bId3l+4S9
f3LVKkLNHCV4bCBoRQBf2uaL7Zbqe7TwgNysdGj0teNTEda6b/Q1DJc4TjeRZLujCiCBjd5/B+RJ
jKK0g29d59gXQhXhJ5Dt92ZUh90rIHcdAcmpBAx0BTlvVd/sk74UiOP7Z2hln+xG3lueWJw4XZLc
LP5ADBPoZtAbyJo9TmAfdAuYrHo2V7Mhq09mk58nrj8eOoqcRauCXOF035PbczMaXdvsByHeimgp
zy+Ghck0tR18EJTKDrJ8I6pw60Ql7iaN2ObGvem0LtnPlkPKAGX3Cjnv8BV0HkLtuETfGsKrySCx
fwld4bwGpRCfqF/e+f5wfBs2P53sG8iyvw9RM1Qe2a4zKCM45qoovsFzQ4Nd47OdP1loPrvUMiJ+
2dNPVHErIQSHuaRGoNRfTYQQLlmO2maZ8z7+Ct4ZXtyXIxwPiaElzJPtwphjFgcZy9dulzRtpjj7
KrLMuv74Ku/ekjQ8S1o6XazTFRv3Q5fAKGz2Yu7x0GHId5AvFDnd5XRSnyyS74zmZXX+98WWCe6X
51f2cUMYKxeLRXmE/FXcegUSBmm2Zx/f1Tsz5W8XWrZiv1yICvzQVgZjAsugv8ySRWH5tmybTRLN
eAaLAvXE/NlIfGeDh8CH/bSx/DdHsN+vqnQvtpBLNnvVTE9BaTsrR6idwuXM7hmreqbP98u85bmx
+OTJvjdYljxlIlfY4tHz/v3ScVsbXqTsdg9gp7gq7FDdoyX5P9gss9f45yon498eQAG63OE+wZUE
tiuY100sr8vwM6j7e7dDmXk5ktC5h1v7++1A6utwylEFc1M820hJn/rc+O+nb6j3ZNuya1zEryfX
oJ3kAiJp+Jjzal9HNOHEiOHhvx+IFB+lROiMClucXCRDLjTZNkMiqzN7zfDARWAU20I8dg18vJKD
lq9lmfbJvb03/gmrWTTR5qK/PhmJmVmZAy7WZt9y3ID4cxcm8Q7z87orajzT/S4n5/DjO33vlS0v
Cz8WZ6k/wrlwZwlBPCHTsENzuoC/SsLdZ4/zs4ss//yX7zodDbraOktujsRsm9TT92hS8pN39lMv
ebISAgxBPUdd0iP05+RjmpW7xG3KBuNwFm4aThxsJGR3DFvpPGVKuXeNiQRSwiQn6rIttDsVDd6j
wlRKoaAk4PcO0x+OHtXkAp6XwHksSsKDLmn3IEp7Nfn5Z2AwSoBtoAi6yywQ5srsh6XuRlHGofCB
Z9sM7Mt56rSLSKThQ1feZQnN2dTA1NnFLghX81WhItsaJCeuG+jl27SQz8QA937YYpGCY95t6MbD
q+0t4JtxfpkZvfItpwuuldm227Iq1TYg5fEs8BLoRezlaJR/PDDeK4G6iL0JgaDWwOHg5HFmuTmI
tNK6vStrWh+hip64yfDFCxzz2HZLh0UHHKRvENSXmzKAUcweJYHpW8MjBvIG7AUSeqIvyZD9oraP
Q+dyDD2LPqL56dtnCJ28fH4tr56aiOmwKP4+xGBY2GPkRGqfCcQgMwK+MGe6Rpzx93P5v2MiocD8
bw/J//qPmYr/71pNeMf/2Wqyjl66rgybl/wdvwn/5r/8JvpffHq2jajPXQT2S6Hub7+JJ/6yiDJ0
eTsUOQmd4p/8T9yh+ZdhU31YShCIRCll/+M3EX8twX6SYcjBYvkT/xu/yXuHb2ZWBycMVi7K9MvG
6pepSNJuQ0KYtntJyeNsrIcOqBm8LCsdmrPUNgCrD/1zJF3oHAPJ6oFWFclaDkP72ffF3f4xYoVu
LeJbSktwMH//JT0I9lQzPCbFuP8xYpe+lmZRXRXFHN9jDqarEhY7vUixxzeOHysc/6uyUhdpP1if
LAI/7/r3r0dn3nTZgCw+HEKhfv8tSCFFELcUn6kPQuAOTPu8jtKldBthUbW87/HAWrmadDwGq4oT
wnnt2OGumF9ms9f91CrNc22W+nYaxmU7Ok13v4y0679/yq8+oVPrAXUwGrWsT7w0aj78r99/4Vi3
6BXmrsUhygEOhRuoCqi/7U6PDeOsUWiToMG362rp4rpZTPmzkf3OgQf5CLXAfk6s1vyRMhG5nz28
ZSL89eFZJlJFHSEqviJwyOLkRRIcX1fIZ6t92iHgKiw4bZ4dl7fAV7oHC0LLXTNPwddQNwhXduLq
BdAhfNHZ7R9SMc5bkUD9+vhxnW4kfv4kfhW1Cz44juO/P61+nN3Z0SwwGEpzL6RQ2ZXoOhqZESFv
SS5BEHQe8i0Zq08fx2lVj2ujf5PE2yyVRPpSv1+7yMq86rqBa6PXG5wue9Uix9w41Ik3yCMJSA6J
vG6yzgYjUXl7RcSkX9VNdPPxMzjd1i+/A68SNR6K8hzJTl7L0DdA9XR2NmM830ylg95C9JZ13ute
7vedHR2JK3bxMHtTcQimYP/x5d95BfoyYMXyFHDRLZ//LxNNOZUJOx76cg39nCMiQGAUdv0CQREG
AgbytWUU2jaJu097l6cTCzduML85FnMK0ZGnLz/VsGQDjimhE8nqxSCVx6tiXjiFTSSIbEWmBbbo
jSi01yqZQbjkTX9Nr9g6H8XQ7z5+DouL8PTzwEMDZw3zE3aa0wdhYbjTPNMu9+gJoqOWlsY5yGN0
XdBoigsNpfiq6HPE055xJpnbtlqoBXeon9hnTWFSfB8619vphEX5WQdqXzdnE3lIv6QMOTMKtAZC
c9pr+U3h5NVWYxLdoiIIOp9qcukHw0xwpmXFot6yVUPkZpLRPF7UVg8mRCNOwkPg/fDxTS8b9ZMp
gZ0TZVVWLHyzp68AEIQF80CU+yg02ZnRMwY1jQL8yoi98fbja8k/L2bqQmcl0Wlc0qA4+diNCHRj
32uciOoaR7wNButQqga1sueOKI0B8o3h1eQWkJ8FYoibeBDjdZZPbezbXmscp9GS5MgqqrDr1jMz
8MtJ/pl78LQkyeaMSRzKpevpdK7sk4W3znuQHYS172O8auD6BFLsqbPqC6sKnVs37QyMDHFw+Pjh
6MvN//4miH2TktoYrkWSdJfR+ctnaEDMLPsOp99cwCRA84mixk20bwaKXJzlcFHJChmcdTh6Eol2
YaI6iia40E7+HS3zG6SLa0LfqsuUUs5uNO18by+mhtzFRQ5Spszv8nwOnhPVtpsg7Yqd8gZrHWbS
+WROZ0X5414s07aWHiNfNkrRk3sRkBsCJ5hLYtk667wzSBBHfFhrBJCH83AvRD8BaNZa74ogHPyg
6ZBgB5n6+Gja5AcTK25IMCJTuECsIklOb1ZAOAL4B0wK+J7yskfb0kcf7ApoEXc4A4jW+kQjVuvA
k/u2tDmSEIMCNwhq8Xnmwk3zYNLMgOhdLQSFhjk0ac1rszmqMAYhXD7Hs2LBg1KxwskTPZkJhIq6
NGCoJwZYXAldviVi2PW+NW5B8JdmPFUdgzQP8/7O8ZJhXwCx1TSjWptYdaE9oi0dRuu1zdMScwAi
1aC8di1AWT3gPTrOxoblj7ulNOZPNQ1pojZAJoSoE0s3+NrgO6Bv1+s7hOi73HNygCBwyDMv8jsy
g+WgQIfT/NjEhXzxakKEmlqcTYb7WIEWIKyiRXKMNaYszC1tb32tj/lwnKzq2uNoso3dyX6syh4i
R+juECGdJyYhMsjOXisQACs9BhMyetVZVkbTdo4JK7Lncysvj30MDTMdPMxseb+BkPco+jQ6m2VE
AqyuziAufiF085lwWz8D8qxlxSVazovCHW4VHhgnsDGjDDciIUPWoT1fzcCv9TYaD0EPi6Ydo4dk
BnHahzdOOpXct/CVfHKDFyvLHvCKwW/T70RAVJPXFvt6qvoreFuvMHPlRQAg9tItwj1MMpsU6Gg7
odN6wztyrvKRblF8iIr5EKJ0jB10OaZ7GFOzfOHhooap09YpkW8TfguMwiIqYZy0BKqrl1gN1pu6
pDRrLGgLN7E2uaP446tS3uVVNN2iX3YqyEbyHv0RovGAovdKtyGbQBYhDnQgplLliuQka3YkvPIp
JrgtrrbFkKhsRSdpSqCCp6y6M0bLizrW65c4SMLJBxefSj9uUV5HnqPMK7Br3jdU6qRtWsD2G9O2
1b7WYJdXlAZzpgC99NaxG2uIh+VkPmLciFwkZIYxItggVMCPu8yNwVdaIFZszBc/TL3PL5QB6X7F
6oRwU7V2/s1o6gBF+5zqIEPtnLy3oVHPZBuFtLHNCsmtWRTGcQx1eNW5pns4uknW0JFyc0go1h/P
lH9OLrRsqKxxLGK1RkDx+0Q5Yazt4jHCmdFm8yWNA+Tsc22+fnwV62ew5z8TssvjWjrNLAGuxBT6
R1A3VPEAOmhW7eflRvXllqmZmwfirY3CN38+k355PMNgL08qDTnGm5mVXyClD9+muYfBV48uT9it
MIH5STWa8F9cj7cQuZr5iDSSdzP8fE/lz3cWoyDy259vco5KQguXd9y11mBeJcubB0qbkQL5c0DA
Jm5etKAYuZ7DgElFNScrOmgMJBhbDiEo5XmruSbfAjyampLaJV74Y6ShYE2jyTi4XVK9WFaoXyVh
NOdrkNY1Fde56IYd583ymxVliUbFxI431iSjrZu30M+NObymshX60uyYLBVFzdksPVQ84z7QZeuP
tQy6daCV2V1MAu5ryKYTRWMV39eu3t5OvdeQnVu8CUmwXDs5iIg08VyFD0DR8ANBmNM5u6n5RYyN
drASalddWjrHTNdmv5z66t6am1fKO/GlUXli37aihUqDF/shMizcAEYW2QdTlHG9bNbcTZcOxtdM
zu4hILjxKozqbK9rE29tQIl6X5dT/GXSsRItSDZ77yqQz4Cj3S+W3la+C1cPKlrKfoAMqcG6DuVM
dFg3Wtsia7PzajCL0tfdxq3WVVdZ265qCTrQSIbaJDB181Xg9B11uwhCLJETPXO1kQrOrFYEyHr4
CuDY+kbMDribzsqn5wb+wqFNak2Bf23TnQqQ86/cBnW/zMwlFCTI0uRCZP0zZ+X8uxy78cBOxrhA
W14tZCkFkVJ1l3bhoadK9bQaFlvjS24Gd4DTHhedH5tZc/ZMNOwuQPhEk+NVO+CWScYMEPg8zQrn
AVR3Y5Ph9thGVF/X40QbVJ91c+2WorzW6qK9IB2reYrtJQaoCeIztwtKkJqFQIdrupeTlyNCRpfr
PCe12R7mFldIiux5FQ39F6ey05WdaxGGBes1aXoMnvD89sqGbYfm/s4cyxeHWv2eyUS7I4SmuUcT
bHC2JkxI6eVoAPbN+2OuhJlCxjciHxQQKRRNrRN1H7Y4CtlMggLDGY3d4RDWdvIgNcwP86Q3FwIu
Hf38+zmA5K3ioTtzbJOYRxuv7qZIFuE1zhu/pKXJ1BtgmilThK58ZR5K40Yl0zaQNYgBN3ExAEUK
SXrY9Ur5nQBRzhK8hAO5k8DQ5HoglOtAo6Ouud/gZKdXKjbhVhVgAdIxALVdRHJdzW6+SecsJHRh
4RM5UX8ZRQZ5LnNMyk1Iqegwz3Iiqq4W7jk1Em1dxKYCTWm5OCmT/MEsXLUpKgUui+EuD4hXKkI/
6yS7azzkzCWJWt0czE/NOFWLOU7+iOuoeAtCK3zQhF1+iwwMnavOjjl5eyrcBpWZXI1zUF04BUn0
6zTvKFxQ2i7XmH/5ewecmDUQWuPGQ3V0PAlrsYEuVETheEaEjrhtF9O2wrri9yyDh6mCZmn29LC8
xnLG9VDJ/taQajwL6igGLuvV20E1zdHDQTitdSgrB8fpmWsMmeaENwhP843WBGZkj5Y6hh3x2+SO
uteJHUQv0qrGfBuW8nukle1XFjTBChkmL3wm3pNTVu2BWYagTPbzjuXnde1ugiq2j4GC5zghSOcs
FLa2D03KOc7jhME9muLgyRnd7JzE31wh3cZIseLerH0RWvJW6zL9rgMNc2AH1/5I0kHejHSqZ3Ij
45y8F8hKKy3v0guV9+N5ja8jWIW1JUjpcsPLmnwWH1bjfInV0oKv2Vbt1QDx/YJYlOAwJEH+5nh6
8WSMQpyT+lpdIEbBfu1OqrqDvJm65510KLXrCawBAHQbvTchS0+BaM9yrRvOzUmch9Tgk1WTNtMV
yeTOmTZNtGsK9gSt1eo3XcqEGEdtcQPjt1KbchqNL32L3KXALXEbGWOTrjFHD8yI5RBddGPk3ape
lYew0I+qr5x2y2cYH2sLdyjijabaWs7szZtaz/tpb02RxiiMIJanvR0/OfHSmpiQ3++DQeApqNzy
gHmJVMAeK625H00PF4TTO3IbJTGJ5o1hNWDQl+oiEjBCZkF0Fdievqu5bQ6TDN8SNwU+KMN8LQJ2
TvCU6XksTRdmMIrBayi03nWGGuUxc83gK/L1eBeMRf5Vw64PngxKJdtS4r2OMf7rF4+crsJqyy1C
nO7cmip936nmpTHy8MukOfa2RGJOKaPYsaMor5u0Lc7oD/eXfTb2HGOy4bzSAue+YTPnozAJvia1
q8WrlN7LA6fY5ccpz7yMo8CmF6nQ8Y6eRr8nSqCrJXol1zae6zPoHOXGI2pk3TdLf7ue47PGzohc
KaiYDfZYnFWJ0++MtJRHmdWh72aD+UYbiCPWkE/OiBEkT3H75AOm2HzmQH7kqDu9VhW8nxgF+HXW
AHwpg6qXkNsDZIqdmXjnepyHvpnm2cZpa0x7sMlu45hQFiNiti+ywrtqlAdzE0hIscMmThhNgbLF
D6SbRBh/KsevvGYGKS6HYF23AuVN0wOnDSPEHmMHOLKaztwEErGseQUhJuCd3hreKg2MiWyq3ko6
ULy62ut8NXfIl8LaH4zMehkHrb6oOfPOHPdm1rmq9x7THI/8KnQ098oNqLWIJHlLCt04kKqkPwW2
261bwO5kc8YUIiqpB3ehnlovnOw0tSVbG5fOgHr7if2tcyP7EEfJDJqvj7w8AGoXROEWwX0FhLBE
JbQ288a4coLSI3+yk2dBMOY+dJjRn7sMoN8cuJdtYRfHMhza29bFxMHxBnk+OVSX6VQ7OGKWjbjR
UQiW1N3ccDQvpyLE145B4ktVhRRJ9CmqlsQV6AI1iKPvMTvhfRjk3TdKzZc2KRj2KijC9tqAhIAB
N+7PI5x2/+q3/Vd9pfsy5z8/0WP/tJEWmNY/f/f/YVOJetV/birdviRt9BLF77SU+Pf+bim53l9w
4TyKHrSoFxgZZ5d/IczcvwRVNuRDciGZ0Dr/p6Vk/QUMmaqjs/wFiYuy/f8gzIy/EC0tzCza3tSq
OeucIMs+QphZP0Wi/xxpHPTHVNlNBzkhWDEkPyelXuq8pVUJGgAUw5GWwxVsE/iaTffFZpVLc2yP
1OOLNXHzFyi7GXJR/hZiiab83G4nk+90LiWm6XRaju02M0k17CZjjg7ottZmG1wojTZvXqh7cN5U
8Pv8sY6m77ifz6Yc40/QEAxblY1a99n0Box+z97Uz2EboARcDkc1YV52tgmch967N63wS6Q5WMIA
2djj8+h0bxDm74nLdYbObzTtjI3esQPrIZW6rhHpnvXsItd6mFA6b1tz7SXGlK/iToSHIjVz/I5t
Z5B+rkOc3Ug+zxu0vRMHDAjo63RwsAcH2rzV6yzeUvB3zmiHK2sDw8MGIBI3xU0wDf09BPv5VQRS
vtKHj+6om7CTDbu0eiRwSG2gJ+T+rLfpLdR8HcpoKq7BmBhse9n7bmdT5TvgHuMxSRxiB2w9vCbS
MNqouY99gd98x6uSm6bRbxD2XHhpdpEa7V7UR9vknDbAEM5Eh4neylG9erGLr7FUrOqELs74CkQz
PkKcQNqiE0PdejelYKdq2ZRXGjLMH9iafwuUWFlJdM0BLZ7uzSQ4uLG9Jj8AOCkD6SqOgYR31Y7C
z03SDFeC2GYWmScJONgupwtTPjVxcU+KYth4fiE5GUh5q8IfdRn5gfcYaFAZXCRRIeuuW0AjUo+c
rs6jjrw689Uxe78nBgqaL7wMnJfK2CqcvjFGpWQ2d87QBJswuivC88pbkJh070T0pRi0Q+cF1cqZ
8mtlg19t5ocGUN56IIisVdUGbftjbjndGVLNHQbatZRXMp7OU0rwwdi9ma1xA3PZHG/agWKyhQFu
ki9Jp1MNGreVJnc5WViNxvLpuNh91SOpbJeZ62rrOYWgEEqAIoa0yoNrwZacU6wq0ZiecabrVmM4
XqYtaOKZXO8ukfE+nNKjMbrH0W2hxef198xTxqY1Bp04j/agdc53uXxcWbzxrB+Io14ltSpN9GST
tPsodnYZP6UmGc9TpHsaOhG5EWATkQ9f3E7uC68hKMu48yrtcjIkmKSMYuvgeOyfOLTkwRbLLuml
Wf81SMglbuDBhmTfkO7hXIWaF2zqhIIXlaB813suw4ODq98AfotXiFpxTlptF/wg/U1fIZK0iTRx
k29AJXqQrUay0zoGHkpdKtNJa6zwyoNat3PmlyiaziZ3ntZBYEa7gKe6Fsoybqsh63dCR3CqhT2C
jLqRnBin7q0wOSGx2y/Pzc6Nr2SWWnwRLbXPMHL3EWW2twyAQL0aibiA36MCdiZViW6Yc6KfmLn0
w8HriEwU8SXHktQn8YSUwZm6rIp5iUaVeQf879CVUxDJQz6Wx6iSzd1gBFQyaNgeR5Tcqx5L90bk
4eBXudZsy7aFx5rqwAUq8FCbJjJcHQb7/ODoLToZ4tCveTzdxsbm/5yxe9yBMYPjWua6uuyJA/Gz
Cb4suRREFxlN7xeoaVZGzhnSc9PM94jJXU7f8ybLgnhjpFF9qUT7Q1mknhnKFlsr0Lqt5BeSbQoh
3eN++3YYDlRU9SNK5lauwMeUgG9djHsh9qKvggx4n/oD1j/leL5taIfM1J8Nzuv02QaSL+3FZ5+i
GwOA690Hmma9ECKrLm2R2zdNSDTvnIMtmskzXtcWQSu5OfUH7DkEgCTkgZuxNK6AMlzoBjkwRmFS
pQy0/N4Ig+DgJeZ86VgJM1gr1E2piyhdM9vhEKji2F2X0si3XVlZb+FSpMjNDgVl4rUbo1lSQuAz
rOj4WN0IKaLBsemaJCyrqaNxYNZIn0RZ30rqs3DQlXOh6cDBOXs9kMEy+0KS4BP1tIZGUV90qbNj
IZO+pkLCYojAiBtSAKg1rYdahusMbFKgzrpauue5O29U1JF1pNEThs2tl2JtclWeeeF99XJiy8vQ
+AHYzyCowMvXklYKZfI+881KlCxc4P6NvKzukpD8P0xVpCsYgbWvZhzuqmuBIbBzZF3ojFu0CeiZ
e0tcpoFlgNSqb4RurJuGULAs9FB0Gk63i7MJz73WUU6YwodyJr1OMF5IqGr3vQJAFQ/TyqJ5u4+U
B/nCJe81xRasSf1JyyZu1VDdyhZptKtHapKepX50KfOINQJQZmXYMwEkqxFglRrLq8SDIWBHDtyg
mGzJaiBvoK377LJqNfNMAdfaG6P+3HlHAqUqGtQigo5RfSVWIb+seud2cNONSeJ5mnhEFumcUGvH
0bZd5MonWpxdv04Dc/6e2coaVpx+iAakalHH21SPMPKHeUr4jglMYICpTLwap3QnCTilD3VSpNs6
CIA/W4HXsWMePesimufpvEDmFR7G0i3OMEzwQJyu4P8NUmIlO12mZ2pqTYjNgtgxbM6bhuzFVUpC
xrazTbYSfZ1RaiCQqeZL9ttar7/LYOn/W2Rvp+us74C34SluNwrvMvCjUtBgisq5v/NqNARTUnlb
qEcUdbwiI9tdr7ZOpwziAQdS/nQ1BGfUH4oNfdH5LordwqGkb2rWagbqZqHtmaOvaek2127dgw6J
O+e6cUOHEMwleLjC9ViN2bW0K3VM/jdzZ7KcNhCE4Vdx+Y4LCSTEIT7YjvfC2HGlKrlQlFEhwSCh
je2Wd/OD5RuBiDYDjlIpdMOSezStWbp7/v6b9X5gTKHnsBxZ2NqbGB2VFO239gLuxzkRmMfQsbTb
oD0DEQ+3e0jeiMK2ANsc2esTdjmtB4U/AUFKOAXK09Jlk23ML6dqC3/Jv/b8+lU0pZikO1WfsGW1
J9sbPtTGxGnGWrNjSZDRFHoBomOgaHRjfr1oUklxyY9Fywtv7WjcpECL3cXvx+abTMTzaOSJrxFj
7Kch9GdL9zv6ijq1nLTXLmHWXZDFRIUASjy0oCCYWVcpU727NnHTqJzcyTOGL4Ccts6y3ARnoUrr
O324OhRUliPSChlnb/xCrP91NZzcO+19iIbc0UTcDMABXeGAQtXIPM82w0GYPvcXZAC76mpg+437
WUP//vmetCRtdltXQULleYhBDqiiplO7OOjVb0YKZECet+qCi/wkFjvuS7qh3DH43HVXNacHtSih
vh/EgjqS8NOFj6haf3IqC2sjrKwpzVB4rX4ROq07H9arpoDCZHdDZd8mZtIll40vk8804mzKF0Dy
SR0E7PmwHIbK4yxYGOtW/ptznHGhb0y305+YQd7PrgDL3HSklAJ860vKu11iBOGrW+AJP+ihxEkt
F5ThFH9zIyeUDOVD23XSvrWKG5zxxuM3iunMdwkQfVjPowFs5SrOc6vZqFOKXWY3cZ2eCKIxm9uA
PJmihPvgO44vzhFpL6Wgj1Swu3dFrvWinEwHPmZVJ3ua5AEJozlEETk5KUWoZ+QucZypKuueFhUh
s8FJaFnfZgoepyKY0tUUAVk82Nw6uU6lilDOdHA/wEqBRsrr+BRBIqAGrqaqHhgQLIWYFx/pwQBh
CwRkM3GOVQ//YDzUATSD5maKZZcGIGrsE2C/44s42XHNCEJ5VDUgDUYhEwweZkNm71WbG9oZAAB6
C7Pz+sqoRGZrHqqCA5bQ7S5yadliEG8ythmkalXsfSBZhIsCNovr3UBuAdt4afycLGOxlmzGxTHk
7/PMuhmv/6mbyX6Q/vdN/4otl75T8sdb2+RMiHyhuLfLzVvK/f3L6d6Ehe3bFopwbD/6Lvm7am9U
FL0nLF5R+oMVCaefNgtIcpNLINbon6/0d0r5thSWGSZy5HCRxChyw2VdqSr8ou/bwfsvkUhKi5fH
BRX18tLHn438kyt7Zgc5w6l0bdjdYNmI3ppCxXGemDhl/5adw/KJN2H2/fPfAAAA//8=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533403</xdr:colOff>
      <xdr:row>1</xdr:row>
      <xdr:rowOff>514349</xdr:rowOff>
    </xdr:from>
    <xdr:to>
      <xdr:col>21</xdr:col>
      <xdr:colOff>619125</xdr:colOff>
      <xdr:row>7</xdr:row>
      <xdr:rowOff>19048</xdr:rowOff>
    </xdr:to>
    <xdr:grpSp>
      <xdr:nvGrpSpPr>
        <xdr:cNvPr id="48" name="Group 47">
          <a:extLst>
            <a:ext uri="{FF2B5EF4-FFF2-40B4-BE49-F238E27FC236}">
              <a16:creationId xmlns:a16="http://schemas.microsoft.com/office/drawing/2014/main" id="{DF7FB494-826D-B7DD-7C90-B041F07D2AE3}"/>
            </a:ext>
          </a:extLst>
        </xdr:cNvPr>
        <xdr:cNvGrpSpPr/>
      </xdr:nvGrpSpPr>
      <xdr:grpSpPr>
        <a:xfrm>
          <a:off x="5609668" y="704849"/>
          <a:ext cx="12165663" cy="1185581"/>
          <a:chOff x="5553078" y="666749"/>
          <a:chExt cx="8686797" cy="1181099"/>
        </a:xfrm>
      </xdr:grpSpPr>
      <xdr:grpSp>
        <xdr:nvGrpSpPr>
          <xdr:cNvPr id="28" name="Group 27">
            <a:extLst>
              <a:ext uri="{FF2B5EF4-FFF2-40B4-BE49-F238E27FC236}">
                <a16:creationId xmlns:a16="http://schemas.microsoft.com/office/drawing/2014/main" id="{5AD71DDC-3C76-B5D0-7CB4-68A75958B837}"/>
              </a:ext>
            </a:extLst>
          </xdr:cNvPr>
          <xdr:cNvGrpSpPr/>
        </xdr:nvGrpSpPr>
        <xdr:grpSpPr>
          <a:xfrm>
            <a:off x="12277730" y="676274"/>
            <a:ext cx="1962145" cy="1152524"/>
            <a:chOff x="12277730" y="676274"/>
            <a:chExt cx="1962145" cy="1152524"/>
          </a:xfrm>
        </xdr:grpSpPr>
        <xdr:sp macro="" textlink="">
          <xdr:nvSpPr>
            <xdr:cNvPr id="13" name="Rectangle: Top Corners Rounded 12">
              <a:extLst>
                <a:ext uri="{FF2B5EF4-FFF2-40B4-BE49-F238E27FC236}">
                  <a16:creationId xmlns:a16="http://schemas.microsoft.com/office/drawing/2014/main" id="{FA0E1322-62F3-9488-6FC1-BF95A161128F}"/>
                </a:ext>
              </a:extLst>
            </xdr:cNvPr>
            <xdr:cNvSpPr/>
          </xdr:nvSpPr>
          <xdr:spPr>
            <a:xfrm rot="16200000">
              <a:off x="12134855" y="819149"/>
              <a:ext cx="1152524" cy="866774"/>
            </a:xfrm>
            <a:prstGeom prst="round2Same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16200000" scaled="1"/>
              <a:tileRect/>
            </a:gradFill>
            <a:ln>
              <a:noFill/>
            </a:ln>
            <a:effectLst>
              <a:glow rad="101600">
                <a:schemeClr val="accent5">
                  <a:satMod val="175000"/>
                  <a:alpha val="40000"/>
                </a:schemeClr>
              </a:glo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chemeClr val="accent5">
                    <a:lumMod val="60000"/>
                    <a:lumOff val="40000"/>
                  </a:schemeClr>
                </a:solidFill>
              </a:endParaRPr>
            </a:p>
          </xdr:txBody>
        </xdr:sp>
        <xdr:sp macro="" textlink="">
          <xdr:nvSpPr>
            <xdr:cNvPr id="14" name="Rectangle 13">
              <a:extLst>
                <a:ext uri="{FF2B5EF4-FFF2-40B4-BE49-F238E27FC236}">
                  <a16:creationId xmlns:a16="http://schemas.microsoft.com/office/drawing/2014/main" id="{4D33BC17-925E-5B13-F28F-E89C21744969}"/>
                </a:ext>
              </a:extLst>
            </xdr:cNvPr>
            <xdr:cNvSpPr/>
          </xdr:nvSpPr>
          <xdr:spPr>
            <a:xfrm>
              <a:off x="12395026" y="742950"/>
              <a:ext cx="1844849" cy="1028700"/>
            </a:xfrm>
            <a:prstGeom prst="rect">
              <a:avLst/>
            </a:prstGeom>
            <a:solidFill>
              <a:schemeClr val="tx1">
                <a:lumMod val="95000"/>
                <a:lumOff val="5000"/>
              </a:schemeClr>
            </a:solidFill>
            <a:ln w="3175">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5" name="Group 24">
            <a:extLst>
              <a:ext uri="{FF2B5EF4-FFF2-40B4-BE49-F238E27FC236}">
                <a16:creationId xmlns:a16="http://schemas.microsoft.com/office/drawing/2014/main" id="{E5629F3C-65C7-BBA7-74FA-5743312C155C}"/>
              </a:ext>
            </a:extLst>
          </xdr:cNvPr>
          <xdr:cNvGrpSpPr/>
        </xdr:nvGrpSpPr>
        <xdr:grpSpPr>
          <a:xfrm>
            <a:off x="5553078" y="666749"/>
            <a:ext cx="1962147" cy="1152524"/>
            <a:chOff x="5553078" y="666749"/>
            <a:chExt cx="1962147" cy="1152524"/>
          </a:xfrm>
        </xdr:grpSpPr>
        <xdr:sp macro="" textlink="">
          <xdr:nvSpPr>
            <xdr:cNvPr id="16" name="Rectangle: Top Corners Rounded 15">
              <a:extLst>
                <a:ext uri="{FF2B5EF4-FFF2-40B4-BE49-F238E27FC236}">
                  <a16:creationId xmlns:a16="http://schemas.microsoft.com/office/drawing/2014/main" id="{07D0338C-0CA2-6846-A3B0-4E3BCAB53695}"/>
                </a:ext>
              </a:extLst>
            </xdr:cNvPr>
            <xdr:cNvSpPr/>
          </xdr:nvSpPr>
          <xdr:spPr>
            <a:xfrm rot="16200000">
              <a:off x="5462591" y="757236"/>
              <a:ext cx="1152524" cy="971550"/>
            </a:xfrm>
            <a:prstGeom prst="round2Same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16200000" scaled="1"/>
              <a:tileRect/>
            </a:gradFill>
            <a:ln>
              <a:noFill/>
            </a:ln>
            <a:effectLst>
              <a:glow rad="101600">
                <a:schemeClr val="accent5">
                  <a:satMod val="175000"/>
                  <a:alpha val="40000"/>
                </a:schemeClr>
              </a:glo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chemeClr val="accent5">
                    <a:lumMod val="60000"/>
                    <a:lumOff val="40000"/>
                  </a:schemeClr>
                </a:solidFill>
              </a:endParaRPr>
            </a:p>
          </xdr:txBody>
        </xdr:sp>
        <xdr:sp macro="" textlink="">
          <xdr:nvSpPr>
            <xdr:cNvPr id="17" name="Rectangle 16">
              <a:extLst>
                <a:ext uri="{FF2B5EF4-FFF2-40B4-BE49-F238E27FC236}">
                  <a16:creationId xmlns:a16="http://schemas.microsoft.com/office/drawing/2014/main" id="{E734EE67-B712-92FE-207A-70C435B0942F}"/>
                </a:ext>
              </a:extLst>
            </xdr:cNvPr>
            <xdr:cNvSpPr/>
          </xdr:nvSpPr>
          <xdr:spPr>
            <a:xfrm>
              <a:off x="5670376" y="733425"/>
              <a:ext cx="1844849" cy="1028700"/>
            </a:xfrm>
            <a:prstGeom prst="rect">
              <a:avLst/>
            </a:prstGeom>
            <a:solidFill>
              <a:schemeClr val="tx1">
                <a:lumMod val="95000"/>
                <a:lumOff val="5000"/>
              </a:schemeClr>
            </a:solidFill>
            <a:ln w="3175">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6" name="Group 25">
            <a:extLst>
              <a:ext uri="{FF2B5EF4-FFF2-40B4-BE49-F238E27FC236}">
                <a16:creationId xmlns:a16="http://schemas.microsoft.com/office/drawing/2014/main" id="{6DAC1996-8997-B66E-7F55-A6FA07C38A44}"/>
              </a:ext>
            </a:extLst>
          </xdr:cNvPr>
          <xdr:cNvGrpSpPr/>
        </xdr:nvGrpSpPr>
        <xdr:grpSpPr>
          <a:xfrm>
            <a:off x="7794628" y="685799"/>
            <a:ext cx="1962147" cy="1152524"/>
            <a:chOff x="7794628" y="685799"/>
            <a:chExt cx="1962147" cy="1152524"/>
          </a:xfrm>
        </xdr:grpSpPr>
        <xdr:sp macro="" textlink="">
          <xdr:nvSpPr>
            <xdr:cNvPr id="19" name="Rectangle: Top Corners Rounded 18">
              <a:extLst>
                <a:ext uri="{FF2B5EF4-FFF2-40B4-BE49-F238E27FC236}">
                  <a16:creationId xmlns:a16="http://schemas.microsoft.com/office/drawing/2014/main" id="{8F876B0B-C244-DEA7-C98A-E3F4093B36C6}"/>
                </a:ext>
              </a:extLst>
            </xdr:cNvPr>
            <xdr:cNvSpPr/>
          </xdr:nvSpPr>
          <xdr:spPr>
            <a:xfrm rot="16200000">
              <a:off x="7712077" y="768350"/>
              <a:ext cx="1152524" cy="987422"/>
            </a:xfrm>
            <a:prstGeom prst="round2Same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16200000" scaled="1"/>
              <a:tileRect/>
            </a:gradFill>
            <a:ln>
              <a:noFill/>
            </a:ln>
            <a:effectLst>
              <a:glow rad="101600">
                <a:schemeClr val="accent5">
                  <a:satMod val="175000"/>
                  <a:alpha val="40000"/>
                </a:schemeClr>
              </a:glo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chemeClr val="accent5">
                    <a:lumMod val="60000"/>
                    <a:lumOff val="40000"/>
                  </a:schemeClr>
                </a:solidFill>
              </a:endParaRPr>
            </a:p>
          </xdr:txBody>
        </xdr:sp>
        <xdr:sp macro="" textlink="">
          <xdr:nvSpPr>
            <xdr:cNvPr id="20" name="Rectangle 19">
              <a:extLst>
                <a:ext uri="{FF2B5EF4-FFF2-40B4-BE49-F238E27FC236}">
                  <a16:creationId xmlns:a16="http://schemas.microsoft.com/office/drawing/2014/main" id="{874B6D6F-483E-1007-BCED-DA7A48445288}"/>
                </a:ext>
              </a:extLst>
            </xdr:cNvPr>
            <xdr:cNvSpPr/>
          </xdr:nvSpPr>
          <xdr:spPr>
            <a:xfrm>
              <a:off x="7911926" y="752475"/>
              <a:ext cx="1844849" cy="1028700"/>
            </a:xfrm>
            <a:prstGeom prst="rect">
              <a:avLst/>
            </a:prstGeom>
            <a:solidFill>
              <a:schemeClr val="tx1">
                <a:lumMod val="95000"/>
                <a:lumOff val="5000"/>
              </a:schemeClr>
            </a:solidFill>
            <a:ln w="3175">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7" name="Group 26">
            <a:extLst>
              <a:ext uri="{FF2B5EF4-FFF2-40B4-BE49-F238E27FC236}">
                <a16:creationId xmlns:a16="http://schemas.microsoft.com/office/drawing/2014/main" id="{86213553-0486-8ABE-F8FD-868118F1FA85}"/>
              </a:ext>
            </a:extLst>
          </xdr:cNvPr>
          <xdr:cNvGrpSpPr/>
        </xdr:nvGrpSpPr>
        <xdr:grpSpPr>
          <a:xfrm>
            <a:off x="10036178" y="695324"/>
            <a:ext cx="1962147" cy="1152524"/>
            <a:chOff x="10036178" y="695324"/>
            <a:chExt cx="1962147" cy="1152524"/>
          </a:xfrm>
        </xdr:grpSpPr>
        <xdr:sp macro="" textlink="">
          <xdr:nvSpPr>
            <xdr:cNvPr id="22" name="Rectangle: Top Corners Rounded 21">
              <a:extLst>
                <a:ext uri="{FF2B5EF4-FFF2-40B4-BE49-F238E27FC236}">
                  <a16:creationId xmlns:a16="http://schemas.microsoft.com/office/drawing/2014/main" id="{5268147D-DAA7-A4BB-9C97-D48243249553}"/>
                </a:ext>
              </a:extLst>
            </xdr:cNvPr>
            <xdr:cNvSpPr/>
          </xdr:nvSpPr>
          <xdr:spPr>
            <a:xfrm rot="16200000">
              <a:off x="9966327" y="765175"/>
              <a:ext cx="1152524" cy="1012822"/>
            </a:xfrm>
            <a:prstGeom prst="round2Same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16200000" scaled="1"/>
              <a:tileRect/>
            </a:gradFill>
            <a:ln>
              <a:noFill/>
            </a:ln>
            <a:effectLst>
              <a:glow rad="101600">
                <a:schemeClr val="accent5">
                  <a:satMod val="175000"/>
                  <a:alpha val="40000"/>
                </a:schemeClr>
              </a:glo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US" sz="1100">
                <a:solidFill>
                  <a:schemeClr val="accent5">
                    <a:lumMod val="60000"/>
                    <a:lumOff val="40000"/>
                  </a:schemeClr>
                </a:solidFill>
              </a:endParaRPr>
            </a:p>
          </xdr:txBody>
        </xdr:sp>
        <xdr:sp macro="" textlink="">
          <xdr:nvSpPr>
            <xdr:cNvPr id="23" name="Rectangle 22">
              <a:extLst>
                <a:ext uri="{FF2B5EF4-FFF2-40B4-BE49-F238E27FC236}">
                  <a16:creationId xmlns:a16="http://schemas.microsoft.com/office/drawing/2014/main" id="{A6B2FB21-FD4C-2F39-A8D2-6B3AD2B4527D}"/>
                </a:ext>
              </a:extLst>
            </xdr:cNvPr>
            <xdr:cNvSpPr/>
          </xdr:nvSpPr>
          <xdr:spPr>
            <a:xfrm>
              <a:off x="10153476" y="762000"/>
              <a:ext cx="1844849" cy="1028700"/>
            </a:xfrm>
            <a:prstGeom prst="rect">
              <a:avLst/>
            </a:prstGeom>
            <a:solidFill>
              <a:schemeClr val="tx1">
                <a:lumMod val="95000"/>
                <a:lumOff val="5000"/>
              </a:schemeClr>
            </a:solidFill>
            <a:ln w="3175">
              <a:noFill/>
            </a:ln>
            <a:effectLst>
              <a:softEdge rad="3175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9" name="TextBox 28">
            <a:extLst>
              <a:ext uri="{FF2B5EF4-FFF2-40B4-BE49-F238E27FC236}">
                <a16:creationId xmlns:a16="http://schemas.microsoft.com/office/drawing/2014/main" id="{E8139959-7AEA-5174-9F68-12C3D6BEFB06}"/>
              </a:ext>
            </a:extLst>
          </xdr:cNvPr>
          <xdr:cNvSpPr txBox="1"/>
        </xdr:nvSpPr>
        <xdr:spPr>
          <a:xfrm>
            <a:off x="12839699" y="752476"/>
            <a:ext cx="132372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Deal Value $</a:t>
            </a:r>
          </a:p>
        </xdr:txBody>
      </xdr:sp>
      <xdr:sp macro="" textlink="">
        <xdr:nvSpPr>
          <xdr:cNvPr id="30" name="TextBox 29">
            <a:extLst>
              <a:ext uri="{FF2B5EF4-FFF2-40B4-BE49-F238E27FC236}">
                <a16:creationId xmlns:a16="http://schemas.microsoft.com/office/drawing/2014/main" id="{7B5E38E8-C461-DB1B-D8D1-C2AD5AC15C95}"/>
              </a:ext>
            </a:extLst>
          </xdr:cNvPr>
          <xdr:cNvSpPr txBox="1"/>
        </xdr:nvSpPr>
        <xdr:spPr>
          <a:xfrm>
            <a:off x="10598149" y="819151"/>
            <a:ext cx="1367127"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Deals Closed</a:t>
            </a:r>
          </a:p>
        </xdr:txBody>
      </xdr:sp>
      <xdr:sp macro="" textlink="">
        <xdr:nvSpPr>
          <xdr:cNvPr id="31" name="TextBox 30">
            <a:extLst>
              <a:ext uri="{FF2B5EF4-FFF2-40B4-BE49-F238E27FC236}">
                <a16:creationId xmlns:a16="http://schemas.microsoft.com/office/drawing/2014/main" id="{1EA9A54A-A6A9-4D3A-0AFA-891A492F430D}"/>
              </a:ext>
            </a:extLst>
          </xdr:cNvPr>
          <xdr:cNvSpPr txBox="1"/>
        </xdr:nvSpPr>
        <xdr:spPr>
          <a:xfrm>
            <a:off x="8337550" y="787401"/>
            <a:ext cx="1551581"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Calls Reached</a:t>
            </a:r>
          </a:p>
        </xdr:txBody>
      </xdr:sp>
      <xdr:pic>
        <xdr:nvPicPr>
          <xdr:cNvPr id="34" name="Graphic 33" descr="Diamond with solid fill">
            <a:extLst>
              <a:ext uri="{FF2B5EF4-FFF2-40B4-BE49-F238E27FC236}">
                <a16:creationId xmlns:a16="http://schemas.microsoft.com/office/drawing/2014/main" id="{3748846D-84C0-16EE-20B2-F18CD8B994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800000" flipH="1" flipV="1">
            <a:off x="12513446" y="1221518"/>
            <a:ext cx="292956" cy="359631"/>
          </a:xfrm>
          <a:prstGeom prst="rect">
            <a:avLst/>
          </a:prstGeom>
        </xdr:spPr>
      </xdr:pic>
      <xdr:pic>
        <xdr:nvPicPr>
          <xdr:cNvPr id="36" name="Graphic 35" descr="Handshake with solid fill">
            <a:extLst>
              <a:ext uri="{FF2B5EF4-FFF2-40B4-BE49-F238E27FC236}">
                <a16:creationId xmlns:a16="http://schemas.microsoft.com/office/drawing/2014/main" id="{6380D661-421A-F1CA-775A-1AAF7A6C41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flipH="1" flipV="1">
            <a:off x="10233821" y="1186619"/>
            <a:ext cx="360025" cy="375481"/>
          </a:xfrm>
          <a:prstGeom prst="rect">
            <a:avLst/>
          </a:prstGeom>
        </xdr:spPr>
      </xdr:pic>
      <xdr:pic>
        <xdr:nvPicPr>
          <xdr:cNvPr id="38" name="Graphic 37" descr="Target Audience with solid fill">
            <a:extLst>
              <a:ext uri="{FF2B5EF4-FFF2-40B4-BE49-F238E27FC236}">
                <a16:creationId xmlns:a16="http://schemas.microsoft.com/office/drawing/2014/main" id="{366B2C7A-FD56-F931-EE89-6051E92EDB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0800000" flipH="1" flipV="1">
            <a:off x="7935070" y="1180219"/>
            <a:ext cx="393006" cy="393006"/>
          </a:xfrm>
          <a:prstGeom prst="rect">
            <a:avLst/>
          </a:prstGeom>
        </xdr:spPr>
      </xdr:pic>
      <xdr:pic>
        <xdr:nvPicPr>
          <xdr:cNvPr id="40" name="Graphic 39" descr="Receiver with solid fill">
            <a:extLst>
              <a:ext uri="{FF2B5EF4-FFF2-40B4-BE49-F238E27FC236}">
                <a16:creationId xmlns:a16="http://schemas.microsoft.com/office/drawing/2014/main" id="{21BE117C-D3A9-F73D-856A-03C7C6C0FA5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0800000" flipH="1" flipV="1">
            <a:off x="5736373" y="1178622"/>
            <a:ext cx="312002" cy="312002"/>
          </a:xfrm>
          <a:prstGeom prst="rect">
            <a:avLst/>
          </a:prstGeom>
        </xdr:spPr>
      </xdr:pic>
      <xdr:sp macro="" textlink="Calculation!B4">
        <xdr:nvSpPr>
          <xdr:cNvPr id="43" name="TextBox 42">
            <a:extLst>
              <a:ext uri="{FF2B5EF4-FFF2-40B4-BE49-F238E27FC236}">
                <a16:creationId xmlns:a16="http://schemas.microsoft.com/office/drawing/2014/main" id="{DF78F0EE-8C63-08C3-1A53-EE6180157301}"/>
              </a:ext>
            </a:extLst>
          </xdr:cNvPr>
          <xdr:cNvSpPr txBox="1"/>
        </xdr:nvSpPr>
        <xdr:spPr>
          <a:xfrm>
            <a:off x="6067425" y="1162050"/>
            <a:ext cx="11811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392D40-F4EC-458A-8835-BEBE6028C45B}" type="TxLink">
              <a:rPr lang="en-US" sz="2400" b="1" i="0" u="none" strike="noStrike">
                <a:solidFill>
                  <a:schemeClr val="bg1"/>
                </a:solidFill>
                <a:latin typeface="Aptos Narrow"/>
              </a:rPr>
              <a:pPr algn="ctr"/>
              <a:t> 18,226 </a:t>
            </a:fld>
            <a:endParaRPr lang="en-US" sz="3200" b="1">
              <a:solidFill>
                <a:schemeClr val="bg1"/>
              </a:solidFill>
            </a:endParaRPr>
          </a:p>
        </xdr:txBody>
      </xdr:sp>
      <xdr:sp macro="" textlink="">
        <xdr:nvSpPr>
          <xdr:cNvPr id="44" name="TextBox 43">
            <a:extLst>
              <a:ext uri="{FF2B5EF4-FFF2-40B4-BE49-F238E27FC236}">
                <a16:creationId xmlns:a16="http://schemas.microsoft.com/office/drawing/2014/main" id="{DBAC6926-C69B-254B-9556-9C370EE030C7}"/>
              </a:ext>
            </a:extLst>
          </xdr:cNvPr>
          <xdr:cNvSpPr txBox="1"/>
        </xdr:nvSpPr>
        <xdr:spPr>
          <a:xfrm>
            <a:off x="6162675" y="765176"/>
            <a:ext cx="124777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Garamond" panose="02020404030301010803" pitchFamily="18" charset="0"/>
              </a:rPr>
              <a:t> Total Calls</a:t>
            </a:r>
          </a:p>
        </xdr:txBody>
      </xdr:sp>
      <xdr:sp macro="" textlink="Calculation!B5">
        <xdr:nvSpPr>
          <xdr:cNvPr id="45" name="TextBox 44">
            <a:extLst>
              <a:ext uri="{FF2B5EF4-FFF2-40B4-BE49-F238E27FC236}">
                <a16:creationId xmlns:a16="http://schemas.microsoft.com/office/drawing/2014/main" id="{660B2724-EEE8-789C-C6D8-69011AF09019}"/>
              </a:ext>
            </a:extLst>
          </xdr:cNvPr>
          <xdr:cNvSpPr txBox="1"/>
        </xdr:nvSpPr>
        <xdr:spPr>
          <a:xfrm>
            <a:off x="8220075" y="1181101"/>
            <a:ext cx="1428750"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19BF5A-A71E-432A-8D14-A06E4F2FE87E}" type="TxLink">
              <a:rPr lang="en-US" sz="2400" b="0" i="0" u="none" strike="noStrike">
                <a:solidFill>
                  <a:schemeClr val="bg1"/>
                </a:solidFill>
                <a:latin typeface="Aptos Narrow"/>
              </a:rPr>
              <a:t> 3,607 </a:t>
            </a:fld>
            <a:endParaRPr lang="en-US" sz="6000" b="1">
              <a:solidFill>
                <a:schemeClr val="bg1"/>
              </a:solidFill>
            </a:endParaRPr>
          </a:p>
        </xdr:txBody>
      </xdr:sp>
      <xdr:sp macro="" textlink="Calculation!B6">
        <xdr:nvSpPr>
          <xdr:cNvPr id="46" name="TextBox 45">
            <a:extLst>
              <a:ext uri="{FF2B5EF4-FFF2-40B4-BE49-F238E27FC236}">
                <a16:creationId xmlns:a16="http://schemas.microsoft.com/office/drawing/2014/main" id="{F8492045-ABE2-B81E-460A-8D620FD1005C}"/>
              </a:ext>
            </a:extLst>
          </xdr:cNvPr>
          <xdr:cNvSpPr txBox="1"/>
        </xdr:nvSpPr>
        <xdr:spPr>
          <a:xfrm>
            <a:off x="10658475" y="1184276"/>
            <a:ext cx="1095375" cy="349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1BCFF3-5F87-471A-994B-C29C8D234F9D}" type="TxLink">
              <a:rPr lang="en-US" sz="2400" b="0" i="0" u="none" strike="noStrike">
                <a:solidFill>
                  <a:schemeClr val="bg1"/>
                </a:solidFill>
                <a:latin typeface="Aptos Narrow"/>
              </a:rPr>
              <a:t> 1,302 </a:t>
            </a:fld>
            <a:endParaRPr lang="en-US" sz="2400" b="1">
              <a:solidFill>
                <a:schemeClr val="bg1"/>
              </a:solidFill>
            </a:endParaRPr>
          </a:p>
        </xdr:txBody>
      </xdr:sp>
      <xdr:sp macro="" textlink="Calculation!B7">
        <xdr:nvSpPr>
          <xdr:cNvPr id="47" name="TextBox 46">
            <a:extLst>
              <a:ext uri="{FF2B5EF4-FFF2-40B4-BE49-F238E27FC236}">
                <a16:creationId xmlns:a16="http://schemas.microsoft.com/office/drawing/2014/main" id="{BC9215C8-3392-5978-C658-F59E0867B95B}"/>
              </a:ext>
            </a:extLst>
          </xdr:cNvPr>
          <xdr:cNvSpPr txBox="1"/>
        </xdr:nvSpPr>
        <xdr:spPr>
          <a:xfrm>
            <a:off x="12753975" y="1171575"/>
            <a:ext cx="1238250" cy="40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89BD7C-96B2-46CB-835A-27BC7F9D1821}" type="TxLink">
              <a:rPr lang="en-US" sz="2400" b="0" i="0" u="none" strike="noStrike">
                <a:solidFill>
                  <a:schemeClr val="bg1"/>
                </a:solidFill>
                <a:latin typeface="Aptos Narrow"/>
              </a:rPr>
              <a:t> $701,919 </a:t>
            </a:fld>
            <a:endParaRPr lang="en-US" sz="2400" b="1">
              <a:solidFill>
                <a:schemeClr val="bg1"/>
              </a:solidFill>
            </a:endParaRPr>
          </a:p>
        </xdr:txBody>
      </xdr:sp>
    </xdr:grpSp>
    <xdr:clientData/>
  </xdr:twoCellAnchor>
  <xdr:twoCellAnchor>
    <xdr:from>
      <xdr:col>7</xdr:col>
      <xdr:colOff>9525</xdr:colOff>
      <xdr:row>7</xdr:row>
      <xdr:rowOff>152400</xdr:rowOff>
    </xdr:from>
    <xdr:to>
      <xdr:col>13</xdr:col>
      <xdr:colOff>161926</xdr:colOff>
      <xdr:row>36</xdr:row>
      <xdr:rowOff>0</xdr:rowOff>
    </xdr:to>
    <xdr:graphicFrame macro="">
      <xdr:nvGraphicFramePr>
        <xdr:cNvPr id="49" name="Chart 48">
          <a:extLst>
            <a:ext uri="{FF2B5EF4-FFF2-40B4-BE49-F238E27FC236}">
              <a16:creationId xmlns:a16="http://schemas.microsoft.com/office/drawing/2014/main" id="{763E59B9-59FB-471A-BED4-4DDF2DC96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142875</xdr:colOff>
      <xdr:row>7</xdr:row>
      <xdr:rowOff>142875</xdr:rowOff>
    </xdr:from>
    <xdr:to>
      <xdr:col>21</xdr:col>
      <xdr:colOff>661147</xdr:colOff>
      <xdr:row>36</xdr:row>
      <xdr:rowOff>0</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747EFF88-3D15-4148-B4FD-63A9843E8B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49100" y="2009775"/>
              <a:ext cx="5957047" cy="5381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7</xdr:row>
      <xdr:rowOff>152400</xdr:rowOff>
    </xdr:from>
    <xdr:to>
      <xdr:col>2</xdr:col>
      <xdr:colOff>33618</xdr:colOff>
      <xdr:row>35</xdr:row>
      <xdr:rowOff>179294</xdr:rowOff>
    </xdr:to>
    <mc:AlternateContent xmlns:mc="http://schemas.openxmlformats.org/markup-compatibility/2006">
      <mc:Choice xmlns:a14="http://schemas.microsoft.com/office/drawing/2010/main" Requires="a14">
        <xdr:graphicFrame macro="">
          <xdr:nvGraphicFramePr>
            <xdr:cNvPr id="51" name="Name">
              <a:extLst>
                <a:ext uri="{FF2B5EF4-FFF2-40B4-BE49-F238E27FC236}">
                  <a16:creationId xmlns:a16="http://schemas.microsoft.com/office/drawing/2014/main" id="{31442358-B8D8-FAAA-1B9A-A3CCEE1F1AE6}"/>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0" y="2023782"/>
              <a:ext cx="2667000" cy="5360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com" refreshedDate="46050.957744560183" createdVersion="8" refreshedVersion="8" minRefreshableVersion="3" recordCount="311" xr:uid="{19700098-8DEA-40C0-BE3B-5BE944FFE8C9}">
  <cacheSource type="worksheet">
    <worksheetSource name="Table1"/>
  </cacheSource>
  <cacheFields count="13">
    <cacheField name="Name" numFmtId="0">
      <sharedItems count="26">
        <s v="Alice"/>
        <s v="Diana"/>
        <s v="Jake"/>
        <s v="Liam"/>
        <s v="Bob"/>
        <s v="Rick"/>
        <s v="Charlie"/>
        <s v="Molly"/>
        <s v="Chris"/>
        <s v="James"/>
        <s v="Richard"/>
        <s v="Paul"/>
        <s v="Ian"/>
        <s v="Melissa"/>
        <s v="Alex"/>
        <s v="Karol"/>
        <s v="Darren"/>
        <s v="Will"/>
        <s v="Vicky"/>
        <s v="Grace"/>
        <s v="Emma"/>
        <s v="Josh"/>
        <s v="Craig"/>
        <s v="David"/>
        <s v="Mimi"/>
        <s v="Evan"/>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0" maxValue="0.11"/>
    </cacheField>
    <cacheField name="Days (Date)" numFmtId="0" databaseField="0">
      <fieldGroup base="2">
        <rangePr groupBy="days" startDate="2024-01-01T00:00:00" endDate="2024-12-02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4"/>
        </groupItems>
      </fieldGroup>
    </cacheField>
    <cacheField name="Months (Date)" numFmtId="0" databaseField="0">
      <fieldGroup base="2">
        <rangePr groupBy="months" startDate="2024-01-01T00:00:00" endDate="2024-12-02T00:00:00"/>
        <groupItems count="14">
          <s v="&lt;1/1/2024"/>
          <s v="Jan"/>
          <s v="Feb"/>
          <s v="Mar"/>
          <s v="Apr"/>
          <s v="May"/>
          <s v="Jun"/>
          <s v="Jul"/>
          <s v="Aug"/>
          <s v="Sep"/>
          <s v="Oct"/>
          <s v="Nov"/>
          <s v="Dec"/>
          <s v="&gt;12/2/2024"/>
        </groupItems>
      </fieldGroup>
    </cacheField>
  </cacheFields>
  <extLst>
    <ext xmlns:x14="http://schemas.microsoft.com/office/spreadsheetml/2009/9/main" uri="{725AE2AE-9491-48be-B2B4-4EB974FC3084}">
      <x14:pivotCacheDefinition pivotCacheId="14827463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x v="0"/>
    <x v="0"/>
    <x v="0"/>
    <n v="78"/>
    <n v="12"/>
    <n v="377.5"/>
    <n v="4"/>
    <n v="0.33"/>
    <n v="3880.98"/>
    <n v="2"/>
    <n v="0.04"/>
  </r>
  <r>
    <x v="1"/>
    <x v="0"/>
    <x v="0"/>
    <n v="47"/>
    <n v="14"/>
    <n v="418.92"/>
    <n v="2"/>
    <n v="0.14000000000000001"/>
    <n v="3716"/>
    <n v="1"/>
    <n v="0.04"/>
  </r>
  <r>
    <x v="2"/>
    <x v="0"/>
    <x v="0"/>
    <n v="24"/>
    <n v="6"/>
    <n v="76.930000000000007"/>
    <n v="4"/>
    <n v="0.67"/>
    <n v="1552.35"/>
    <n v="3"/>
    <n v="0.03"/>
  </r>
  <r>
    <x v="3"/>
    <x v="0"/>
    <x v="0"/>
    <n v="81"/>
    <n v="16"/>
    <n v="516.23"/>
    <n v="5"/>
    <n v="0.31"/>
    <n v="1030.68"/>
    <n v="2"/>
    <n v="0.04"/>
  </r>
  <r>
    <x v="4"/>
    <x v="0"/>
    <x v="0"/>
    <n v="59"/>
    <n v="5"/>
    <n v="520.05999999999995"/>
    <n v="3"/>
    <n v="0.6"/>
    <n v="3546.72"/>
    <n v="1"/>
    <n v="0.01"/>
  </r>
  <r>
    <x v="5"/>
    <x v="0"/>
    <x v="0"/>
    <n v="68"/>
    <n v="19"/>
    <n v="290.39"/>
    <n v="3"/>
    <n v="0.16"/>
    <n v="2472.2399999999998"/>
    <n v="3"/>
    <n v="0.1"/>
  </r>
  <r>
    <x v="6"/>
    <x v="0"/>
    <x v="0"/>
    <n v="60"/>
    <n v="7"/>
    <n v="251.7"/>
    <n v="5"/>
    <n v="0.71"/>
    <n v="3956.69"/>
    <n v="2"/>
    <n v="0.04"/>
  </r>
  <r>
    <x v="7"/>
    <x v="0"/>
    <x v="0"/>
    <n v="34"/>
    <n v="21"/>
    <n v="362.62"/>
    <n v="9"/>
    <n v="0.43"/>
    <n v="1140.08"/>
    <n v="1"/>
    <n v="0.05"/>
  </r>
  <r>
    <x v="8"/>
    <x v="0"/>
    <x v="0"/>
    <n v="59"/>
    <n v="13"/>
    <n v="307.49"/>
    <n v="10"/>
    <n v="0.77"/>
    <n v="979.09"/>
    <n v="3"/>
    <n v="0.03"/>
  </r>
  <r>
    <x v="9"/>
    <x v="0"/>
    <x v="0"/>
    <n v="18"/>
    <n v="8"/>
    <n v="206.81"/>
    <n v="7"/>
    <n v="0.88"/>
    <n v="720.56"/>
    <n v="2"/>
    <n v="0.08"/>
  </r>
  <r>
    <x v="10"/>
    <x v="0"/>
    <x v="0"/>
    <n v="36"/>
    <n v="6"/>
    <n v="547.6"/>
    <n v="5"/>
    <n v="0.83"/>
    <n v="3463.18"/>
    <n v="1"/>
    <n v="0.04"/>
  </r>
  <r>
    <x v="11"/>
    <x v="0"/>
    <x v="0"/>
    <n v="67"/>
    <n v="17"/>
    <n v="552.54999999999995"/>
    <n v="2"/>
    <n v="0.12"/>
    <n v="330.12"/>
    <n v="1"/>
    <n v="0.04"/>
  </r>
  <r>
    <x v="12"/>
    <x v="0"/>
    <x v="0"/>
    <n v="36"/>
    <n v="9"/>
    <n v="216.03"/>
    <n v="2"/>
    <n v="0.22"/>
    <n v="4072.07"/>
    <n v="3"/>
    <n v="0.04"/>
  </r>
  <r>
    <x v="13"/>
    <x v="0"/>
    <x v="0"/>
    <n v="54"/>
    <n v="10"/>
    <n v="208.23"/>
    <n v="3"/>
    <n v="0.3"/>
    <n v="645.83000000000004"/>
    <n v="2"/>
    <n v="0.03"/>
  </r>
  <r>
    <x v="14"/>
    <x v="0"/>
    <x v="0"/>
    <n v="82"/>
    <n v="4"/>
    <n v="180.06"/>
    <n v="4"/>
    <n v="1"/>
    <n v="1207.17"/>
    <n v="1"/>
    <n v="0.08"/>
  </r>
  <r>
    <x v="15"/>
    <x v="0"/>
    <x v="0"/>
    <n v="81"/>
    <n v="7"/>
    <n v="82.43"/>
    <n v="7"/>
    <n v="1"/>
    <n v="3463.96"/>
    <n v="3"/>
    <n v="0.08"/>
  </r>
  <r>
    <x v="16"/>
    <x v="0"/>
    <x v="0"/>
    <n v="31"/>
    <n v="17"/>
    <n v="476.95"/>
    <n v="7"/>
    <n v="0.41"/>
    <n v="3945.43"/>
    <n v="2"/>
    <n v="0.04"/>
  </r>
  <r>
    <x v="17"/>
    <x v="0"/>
    <x v="0"/>
    <n v="92"/>
    <n v="20"/>
    <n v="161.41999999999999"/>
    <n v="4"/>
    <n v="0.2"/>
    <n v="425.41"/>
    <n v="1"/>
    <n v="0.1"/>
  </r>
  <r>
    <x v="18"/>
    <x v="0"/>
    <x v="0"/>
    <n v="73"/>
    <n v="12"/>
    <n v="507.45"/>
    <n v="0"/>
    <n v="0"/>
    <n v="1123.8399999999999"/>
    <n v="3"/>
    <n v="0"/>
  </r>
  <r>
    <x v="19"/>
    <x v="0"/>
    <x v="0"/>
    <n v="25"/>
    <n v="14"/>
    <n v="279.95"/>
    <n v="2"/>
    <n v="0.14000000000000001"/>
    <n v="1432.23"/>
    <n v="2"/>
    <n v="0.05"/>
  </r>
  <r>
    <x v="20"/>
    <x v="0"/>
    <x v="0"/>
    <n v="96"/>
    <n v="6"/>
    <n v="532.83000000000004"/>
    <n v="1"/>
    <n v="0.17"/>
    <n v="3173.13"/>
    <n v="1"/>
    <n v="0.03"/>
  </r>
  <r>
    <x v="21"/>
    <x v="0"/>
    <x v="0"/>
    <n v="63"/>
    <n v="8"/>
    <n v="170.49"/>
    <n v="7"/>
    <n v="0.88"/>
    <n v="526.12"/>
    <n v="3"/>
    <n v="0.08"/>
  </r>
  <r>
    <x v="22"/>
    <x v="1"/>
    <x v="0"/>
    <n v="92"/>
    <n v="13"/>
    <n v="422.39"/>
    <n v="1"/>
    <n v="0.08"/>
    <n v="2695.84"/>
    <n v="2"/>
    <n v="0.02"/>
  </r>
  <r>
    <x v="23"/>
    <x v="1"/>
    <x v="0"/>
    <n v="38"/>
    <n v="10"/>
    <n v="514.25"/>
    <n v="4"/>
    <n v="0.4"/>
    <n v="243.62"/>
    <n v="1"/>
    <n v="0.06"/>
  </r>
  <r>
    <x v="24"/>
    <x v="1"/>
    <x v="0"/>
    <n v="43"/>
    <n v="15"/>
    <n v="363.48"/>
    <n v="7"/>
    <n v="0.47"/>
    <n v="3843.52"/>
    <n v="3"/>
    <n v="0.08"/>
  </r>
  <r>
    <x v="25"/>
    <x v="1"/>
    <x v="1"/>
    <n v="62"/>
    <n v="15"/>
    <n v="361.38"/>
    <n v="6"/>
    <n v="0.4"/>
    <n v="4195.1400000000003"/>
    <n v="2"/>
    <n v="0.03"/>
  </r>
  <r>
    <x v="0"/>
    <x v="1"/>
    <x v="1"/>
    <n v="81"/>
    <n v="14"/>
    <n v="362.96"/>
    <n v="5"/>
    <n v="0.36"/>
    <n v="3620.19"/>
    <n v="1"/>
    <n v="0.04"/>
  </r>
  <r>
    <x v="1"/>
    <x v="1"/>
    <x v="1"/>
    <n v="52"/>
    <n v="14"/>
    <n v="382.59"/>
    <n v="3"/>
    <n v="0.21"/>
    <n v="3394.39"/>
    <n v="3"/>
    <n v="0.05"/>
  </r>
  <r>
    <x v="2"/>
    <x v="1"/>
    <x v="1"/>
    <n v="22"/>
    <n v="7"/>
    <n v="79.459999999999994"/>
    <n v="3"/>
    <n v="0.43"/>
    <n v="1638.74"/>
    <n v="2"/>
    <n v="0.03"/>
  </r>
  <r>
    <x v="3"/>
    <x v="1"/>
    <x v="1"/>
    <n v="93"/>
    <n v="11"/>
    <n v="446.3"/>
    <n v="5"/>
    <n v="0.45"/>
    <n v="1057.1400000000001"/>
    <n v="1"/>
    <n v="0.04"/>
  </r>
  <r>
    <x v="4"/>
    <x v="1"/>
    <x v="1"/>
    <n v="65"/>
    <n v="7"/>
    <n v="461.67"/>
    <n v="2"/>
    <n v="0.28999999999999998"/>
    <n v="3486.23"/>
    <n v="3"/>
    <n v="0.01"/>
  </r>
  <r>
    <x v="5"/>
    <x v="1"/>
    <x v="1"/>
    <n v="90"/>
    <n v="20"/>
    <n v="328.63"/>
    <n v="3"/>
    <n v="0.15"/>
    <n v="2662.44"/>
    <n v="2"/>
    <n v="0.11"/>
  </r>
  <r>
    <x v="6"/>
    <x v="1"/>
    <x v="1"/>
    <n v="48"/>
    <n v="7"/>
    <n v="247.66"/>
    <n v="6"/>
    <n v="0.86"/>
    <n v="4335.84"/>
    <n v="1"/>
    <n v="0.04"/>
  </r>
  <r>
    <x v="7"/>
    <x v="1"/>
    <x v="1"/>
    <n v="37"/>
    <n v="17"/>
    <n v="378.61"/>
    <n v="10"/>
    <n v="0.59"/>
    <n v="1295.07"/>
    <n v="3"/>
    <n v="0.06"/>
  </r>
  <r>
    <x v="8"/>
    <x v="1"/>
    <x v="1"/>
    <n v="68"/>
    <n v="16"/>
    <n v="299.58999999999997"/>
    <n v="9"/>
    <n v="0.56000000000000005"/>
    <n v="979.47"/>
    <n v="2"/>
    <n v="0.04"/>
  </r>
  <r>
    <x v="9"/>
    <x v="1"/>
    <x v="1"/>
    <n v="20"/>
    <n v="9"/>
    <n v="202.4"/>
    <n v="7"/>
    <n v="0.78"/>
    <n v="732.99"/>
    <n v="1"/>
    <n v="0.08"/>
  </r>
  <r>
    <x v="10"/>
    <x v="1"/>
    <x v="1"/>
    <n v="35"/>
    <n v="6"/>
    <n v="568.38"/>
    <n v="6"/>
    <n v="1"/>
    <n v="3949.69"/>
    <n v="1"/>
    <n v="0.04"/>
  </r>
  <r>
    <x v="11"/>
    <x v="1"/>
    <x v="1"/>
    <n v="68"/>
    <n v="21"/>
    <n v="553.08000000000004"/>
    <n v="3"/>
    <n v="0.14000000000000001"/>
    <n v="360.7"/>
    <n v="3"/>
    <n v="0.03"/>
  </r>
  <r>
    <x v="12"/>
    <x v="1"/>
    <x v="1"/>
    <n v="30"/>
    <n v="8"/>
    <n v="223.22"/>
    <n v="2"/>
    <n v="0.25"/>
    <n v="3595.12"/>
    <n v="2"/>
    <n v="0.04"/>
  </r>
  <r>
    <x v="13"/>
    <x v="1"/>
    <x v="1"/>
    <n v="69"/>
    <n v="8"/>
    <n v="199.93"/>
    <n v="2"/>
    <n v="0.25"/>
    <n v="610.66"/>
    <n v="1"/>
    <n v="0.03"/>
  </r>
  <r>
    <x v="14"/>
    <x v="1"/>
    <x v="1"/>
    <n v="92"/>
    <n v="6"/>
    <n v="180.46"/>
    <n v="5"/>
    <n v="0.83"/>
    <n v="1173.27"/>
    <n v="3"/>
    <n v="0.08"/>
  </r>
  <r>
    <x v="15"/>
    <x v="1"/>
    <x v="1"/>
    <n v="92"/>
    <n v="7"/>
    <n v="80.12"/>
    <n v="6"/>
    <n v="0.86"/>
    <n v="3794.02"/>
    <n v="2"/>
    <n v="0.1"/>
  </r>
  <r>
    <x v="16"/>
    <x v="1"/>
    <x v="1"/>
    <n v="21"/>
    <n v="14"/>
    <n v="563.79"/>
    <n v="8"/>
    <n v="0.56999999999999995"/>
    <n v="3616.21"/>
    <n v="1"/>
    <n v="0.04"/>
  </r>
  <r>
    <x v="17"/>
    <x v="1"/>
    <x v="1"/>
    <n v="83"/>
    <n v="20"/>
    <n v="193.39"/>
    <n v="5"/>
    <n v="0.25"/>
    <n v="402.53"/>
    <n v="3"/>
    <n v="0.1"/>
  </r>
  <r>
    <x v="18"/>
    <x v="1"/>
    <x v="1"/>
    <n v="57"/>
    <n v="11"/>
    <n v="454.77"/>
    <n v="1"/>
    <n v="0.09"/>
    <n v="1152.4100000000001"/>
    <n v="2"/>
    <n v="0"/>
  </r>
  <r>
    <x v="19"/>
    <x v="1"/>
    <x v="1"/>
    <n v="22"/>
    <n v="17"/>
    <n v="291.97000000000003"/>
    <n v="1"/>
    <n v="0.06"/>
    <n v="1703.6"/>
    <n v="1"/>
    <n v="0.05"/>
  </r>
  <r>
    <x v="20"/>
    <x v="1"/>
    <x v="1"/>
    <n v="78"/>
    <n v="5"/>
    <n v="553.86"/>
    <n v="1"/>
    <n v="0.2"/>
    <n v="3503.57"/>
    <n v="3"/>
    <n v="0.03"/>
  </r>
  <r>
    <x v="21"/>
    <x v="1"/>
    <x v="1"/>
    <n v="68"/>
    <n v="7"/>
    <n v="171.76"/>
    <n v="7"/>
    <n v="1"/>
    <n v="548.36"/>
    <n v="2"/>
    <n v="0.08"/>
  </r>
  <r>
    <x v="22"/>
    <x v="1"/>
    <x v="1"/>
    <n v="83"/>
    <n v="16"/>
    <n v="382.21"/>
    <n v="1"/>
    <n v="0.06"/>
    <n v="3017.43"/>
    <n v="3"/>
    <n v="0.02"/>
  </r>
  <r>
    <x v="23"/>
    <x v="1"/>
    <x v="1"/>
    <n v="31"/>
    <n v="11"/>
    <n v="562.73"/>
    <n v="4"/>
    <n v="0.36"/>
    <n v="221.94"/>
    <n v="2"/>
    <n v="7.0000000000000007E-2"/>
  </r>
  <r>
    <x v="24"/>
    <x v="1"/>
    <x v="1"/>
    <n v="34"/>
    <n v="17"/>
    <n v="380.37"/>
    <n v="7"/>
    <n v="0.41"/>
    <n v="4183.2700000000004"/>
    <n v="1"/>
    <n v="0.09"/>
  </r>
  <r>
    <x v="25"/>
    <x v="1"/>
    <x v="2"/>
    <n v="55"/>
    <n v="17"/>
    <n v="315.62"/>
    <n v="5"/>
    <n v="0.28999999999999998"/>
    <n v="3890.73"/>
    <n v="3"/>
    <n v="0.03"/>
  </r>
  <r>
    <x v="0"/>
    <x v="1"/>
    <x v="2"/>
    <n v="91"/>
    <n v="10"/>
    <n v="361.58"/>
    <n v="4"/>
    <n v="0.4"/>
    <n v="3674.37"/>
    <n v="2"/>
    <n v="0.04"/>
  </r>
  <r>
    <x v="1"/>
    <x v="1"/>
    <x v="2"/>
    <n v="59"/>
    <n v="13"/>
    <n v="402.9"/>
    <n v="2"/>
    <n v="0.15"/>
    <n v="3357.27"/>
    <n v="1"/>
    <n v="0.04"/>
  </r>
  <r>
    <x v="2"/>
    <x v="1"/>
    <x v="2"/>
    <n v="19"/>
    <n v="6"/>
    <n v="82.65"/>
    <n v="3"/>
    <n v="0.5"/>
    <n v="1469.62"/>
    <n v="3"/>
    <n v="0.03"/>
  </r>
  <r>
    <x v="3"/>
    <x v="1"/>
    <x v="2"/>
    <n v="77"/>
    <n v="14"/>
    <n v="494.43"/>
    <n v="4"/>
    <n v="0.28999999999999998"/>
    <n v="963.35"/>
    <n v="2"/>
    <n v="0.04"/>
  </r>
  <r>
    <x v="4"/>
    <x v="1"/>
    <x v="2"/>
    <n v="50"/>
    <n v="8"/>
    <n v="512.92999999999995"/>
    <n v="3"/>
    <n v="0.38"/>
    <n v="3725.66"/>
    <n v="1"/>
    <n v="0.01"/>
  </r>
  <r>
    <x v="5"/>
    <x v="1"/>
    <x v="2"/>
    <n v="88"/>
    <n v="18"/>
    <n v="291.04000000000002"/>
    <n v="2"/>
    <n v="0.11"/>
    <n v="2619.84"/>
    <n v="3"/>
    <n v="0.11"/>
  </r>
  <r>
    <x v="6"/>
    <x v="1"/>
    <x v="2"/>
    <n v="62"/>
    <n v="9"/>
    <n v="252.77"/>
    <n v="7"/>
    <n v="0.78"/>
    <n v="4641.6099999999997"/>
    <n v="2"/>
    <n v="0.04"/>
  </r>
  <r>
    <x v="7"/>
    <x v="1"/>
    <x v="2"/>
    <n v="33"/>
    <n v="18"/>
    <n v="348.57"/>
    <n v="8"/>
    <n v="0.44"/>
    <n v="1169.6400000000001"/>
    <n v="1"/>
    <n v="0.05"/>
  </r>
  <r>
    <x v="8"/>
    <x v="1"/>
    <x v="2"/>
    <n v="54"/>
    <n v="15"/>
    <n v="321.99"/>
    <n v="8"/>
    <n v="0.53"/>
    <n v="1080.0899999999999"/>
    <n v="1"/>
    <n v="0.04"/>
  </r>
  <r>
    <x v="9"/>
    <x v="1"/>
    <x v="2"/>
    <n v="16"/>
    <n v="9"/>
    <n v="199.87"/>
    <n v="9"/>
    <n v="1"/>
    <n v="818.64"/>
    <n v="3"/>
    <n v="7.0000000000000007E-2"/>
  </r>
  <r>
    <x v="10"/>
    <x v="1"/>
    <x v="2"/>
    <n v="30"/>
    <n v="5"/>
    <n v="565.19000000000005"/>
    <n v="4"/>
    <n v="0.8"/>
    <n v="3621.51"/>
    <n v="2"/>
    <n v="0.04"/>
  </r>
  <r>
    <x v="11"/>
    <x v="1"/>
    <x v="2"/>
    <n v="68"/>
    <n v="19"/>
    <n v="623.25"/>
    <n v="3"/>
    <n v="0.16"/>
    <n v="355.96"/>
    <n v="1"/>
    <n v="0.04"/>
  </r>
  <r>
    <x v="12"/>
    <x v="1"/>
    <x v="2"/>
    <n v="31"/>
    <n v="9"/>
    <n v="209.18"/>
    <n v="2"/>
    <n v="0.22"/>
    <n v="4153.3100000000004"/>
    <n v="3"/>
    <n v="0.04"/>
  </r>
  <r>
    <x v="13"/>
    <x v="1"/>
    <x v="2"/>
    <n v="61"/>
    <n v="7"/>
    <n v="190.5"/>
    <n v="3"/>
    <n v="0.43"/>
    <n v="661.2"/>
    <n v="2"/>
    <n v="0.03"/>
  </r>
  <r>
    <x v="14"/>
    <x v="1"/>
    <x v="2"/>
    <n v="83"/>
    <n v="5"/>
    <n v="170.12"/>
    <n v="3"/>
    <n v="0.6"/>
    <n v="1171.95"/>
    <n v="1"/>
    <n v="0.08"/>
  </r>
  <r>
    <x v="15"/>
    <x v="1"/>
    <x v="2"/>
    <n v="74"/>
    <n v="7"/>
    <n v="87.89"/>
    <n v="7"/>
    <n v="1"/>
    <n v="3848.14"/>
    <n v="3"/>
    <n v="0.09"/>
  </r>
  <r>
    <x v="16"/>
    <x v="1"/>
    <x v="2"/>
    <n v="21"/>
    <n v="14"/>
    <n v="498.82"/>
    <n v="5"/>
    <n v="0.36"/>
    <n v="4039.26"/>
    <n v="2"/>
    <n v="0.03"/>
  </r>
  <r>
    <x v="17"/>
    <x v="2"/>
    <x v="2"/>
    <n v="84"/>
    <n v="15"/>
    <n v="163.21"/>
    <n v="5"/>
    <n v="0.33"/>
    <n v="411.36"/>
    <n v="1"/>
    <n v="0.1"/>
  </r>
  <r>
    <x v="18"/>
    <x v="2"/>
    <x v="2"/>
    <n v="64"/>
    <n v="13"/>
    <n v="496.4"/>
    <n v="0"/>
    <n v="0"/>
    <n v="1306.3800000000001"/>
    <n v="3"/>
    <n v="0"/>
  </r>
  <r>
    <x v="19"/>
    <x v="2"/>
    <x v="2"/>
    <n v="21"/>
    <n v="13"/>
    <n v="315.41000000000003"/>
    <n v="1"/>
    <n v="0.08"/>
    <n v="1692.59"/>
    <n v="2"/>
    <n v="0.05"/>
  </r>
  <r>
    <x v="20"/>
    <x v="2"/>
    <x v="2"/>
    <n v="110"/>
    <n v="6"/>
    <n v="535.37"/>
    <n v="2"/>
    <n v="0.33"/>
    <n v="3113.29"/>
    <n v="1"/>
    <n v="0.03"/>
  </r>
  <r>
    <x v="21"/>
    <x v="2"/>
    <x v="2"/>
    <n v="62"/>
    <n v="8"/>
    <n v="198.84"/>
    <n v="8"/>
    <n v="1"/>
    <n v="534.58000000000004"/>
    <n v="3"/>
    <n v="0.09"/>
  </r>
  <r>
    <x v="22"/>
    <x v="2"/>
    <x v="2"/>
    <n v="108"/>
    <n v="14"/>
    <n v="416.78"/>
    <n v="1"/>
    <n v="7.0000000000000007E-2"/>
    <n v="2989.69"/>
    <n v="2"/>
    <n v="0.03"/>
  </r>
  <r>
    <x v="23"/>
    <x v="2"/>
    <x v="2"/>
    <n v="28"/>
    <n v="12"/>
    <n v="533.85"/>
    <n v="5"/>
    <n v="0.42"/>
    <n v="224.87"/>
    <n v="1"/>
    <n v="0.06"/>
  </r>
  <r>
    <x v="24"/>
    <x v="2"/>
    <x v="2"/>
    <n v="39"/>
    <n v="16"/>
    <n v="312.8"/>
    <n v="8"/>
    <n v="0.5"/>
    <n v="4592.09"/>
    <n v="3"/>
    <n v="0.09"/>
  </r>
  <r>
    <x v="25"/>
    <x v="2"/>
    <x v="3"/>
    <n v="69"/>
    <n v="17"/>
    <n v="342.81"/>
    <n v="6"/>
    <n v="0.35"/>
    <n v="3728.2"/>
    <n v="2"/>
    <n v="0.03"/>
  </r>
  <r>
    <x v="0"/>
    <x v="2"/>
    <x v="3"/>
    <n v="83"/>
    <n v="11"/>
    <n v="365.12"/>
    <n v="5"/>
    <n v="0.45"/>
    <n v="3682.69"/>
    <n v="1"/>
    <n v="0.04"/>
  </r>
  <r>
    <x v="1"/>
    <x v="2"/>
    <x v="3"/>
    <n v="41"/>
    <n v="14"/>
    <n v="416.88"/>
    <n v="2"/>
    <n v="0.14000000000000001"/>
    <n v="3638.83"/>
    <n v="3"/>
    <n v="0.04"/>
  </r>
  <r>
    <x v="2"/>
    <x v="2"/>
    <x v="3"/>
    <n v="17"/>
    <n v="7"/>
    <n v="81.14"/>
    <n v="3"/>
    <n v="0.43"/>
    <n v="1419.04"/>
    <n v="2"/>
    <n v="0.03"/>
  </r>
  <r>
    <x v="3"/>
    <x v="2"/>
    <x v="3"/>
    <n v="76"/>
    <n v="16"/>
    <n v="449.04"/>
    <n v="4"/>
    <n v="0.25"/>
    <n v="1019.97"/>
    <n v="1"/>
    <n v="0.04"/>
  </r>
  <r>
    <x v="4"/>
    <x v="2"/>
    <x v="3"/>
    <n v="72"/>
    <n v="6"/>
    <n v="508.55"/>
    <n v="3"/>
    <n v="0.5"/>
    <n v="3633.75"/>
    <n v="3"/>
    <n v="0.01"/>
  </r>
  <r>
    <x v="5"/>
    <x v="2"/>
    <x v="3"/>
    <n v="72"/>
    <n v="18"/>
    <n v="299.08999999999997"/>
    <n v="2"/>
    <n v="0.11"/>
    <n v="2378.29"/>
    <n v="2"/>
    <n v="0.11"/>
  </r>
  <r>
    <x v="6"/>
    <x v="2"/>
    <x v="3"/>
    <n v="44"/>
    <n v="6"/>
    <n v="246.21"/>
    <n v="5"/>
    <n v="0.83"/>
    <n v="4155.8"/>
    <n v="1"/>
    <n v="0.04"/>
  </r>
  <r>
    <x v="7"/>
    <x v="2"/>
    <x v="3"/>
    <n v="29"/>
    <n v="16"/>
    <n v="412.07"/>
    <n v="10"/>
    <n v="0.63"/>
    <n v="1075.94"/>
    <n v="1"/>
    <n v="0.06"/>
  </r>
  <r>
    <x v="8"/>
    <x v="2"/>
    <x v="3"/>
    <n v="64"/>
    <n v="13"/>
    <n v="317.58"/>
    <n v="8"/>
    <n v="0.62"/>
    <n v="1088.22"/>
    <n v="3"/>
    <n v="0.03"/>
  </r>
  <r>
    <x v="9"/>
    <x v="2"/>
    <x v="3"/>
    <n v="16"/>
    <n v="7"/>
    <n v="181.58"/>
    <n v="6"/>
    <n v="0.86"/>
    <n v="868.4"/>
    <n v="2"/>
    <n v="0.08"/>
  </r>
  <r>
    <x v="10"/>
    <x v="2"/>
    <x v="3"/>
    <n v="37"/>
    <n v="7"/>
    <n v="470.85"/>
    <n v="7"/>
    <n v="1"/>
    <n v="3483.6"/>
    <n v="1"/>
    <n v="0.04"/>
  </r>
  <r>
    <x v="11"/>
    <x v="2"/>
    <x v="3"/>
    <n v="81"/>
    <n v="16"/>
    <n v="584.29999999999995"/>
    <n v="3"/>
    <n v="0.19"/>
    <n v="377.45"/>
    <n v="3"/>
    <n v="0.03"/>
  </r>
  <r>
    <x v="12"/>
    <x v="2"/>
    <x v="3"/>
    <n v="26"/>
    <n v="6"/>
    <n v="231.59"/>
    <n v="2"/>
    <n v="0.33"/>
    <n v="3988.15"/>
    <n v="2"/>
    <n v="0.04"/>
  </r>
  <r>
    <x v="13"/>
    <x v="3"/>
    <x v="3"/>
    <n v="69"/>
    <n v="9"/>
    <n v="221.01"/>
    <n v="3"/>
    <n v="0.33"/>
    <n v="643.44000000000005"/>
    <n v="1"/>
    <n v="0.03"/>
  </r>
  <r>
    <x v="14"/>
    <x v="3"/>
    <x v="3"/>
    <n v="103"/>
    <n v="6"/>
    <n v="165.74"/>
    <n v="6"/>
    <n v="1"/>
    <n v="1169.3800000000001"/>
    <n v="3"/>
    <n v="0.08"/>
  </r>
  <r>
    <x v="15"/>
    <x v="3"/>
    <x v="3"/>
    <n v="100"/>
    <n v="7"/>
    <n v="82.62"/>
    <n v="6"/>
    <n v="0.86"/>
    <n v="4085.91"/>
    <n v="2"/>
    <n v="0.09"/>
  </r>
  <r>
    <x v="16"/>
    <x v="3"/>
    <x v="3"/>
    <n v="26"/>
    <n v="17"/>
    <n v="526.34"/>
    <n v="6"/>
    <n v="0.35"/>
    <n v="3360.11"/>
    <n v="1"/>
    <n v="0.03"/>
  </r>
  <r>
    <x v="17"/>
    <x v="3"/>
    <x v="3"/>
    <n v="104"/>
    <n v="22"/>
    <n v="190.87"/>
    <n v="4"/>
    <n v="0.18"/>
    <n v="433.41"/>
    <n v="3"/>
    <n v="0.09"/>
  </r>
  <r>
    <x v="18"/>
    <x v="3"/>
    <x v="3"/>
    <n v="63"/>
    <n v="11"/>
    <n v="554.51"/>
    <n v="1"/>
    <n v="0.09"/>
    <n v="1138.51"/>
    <n v="2"/>
    <n v="0"/>
  </r>
  <r>
    <x v="19"/>
    <x v="3"/>
    <x v="3"/>
    <n v="22"/>
    <n v="13"/>
    <n v="302.49"/>
    <n v="2"/>
    <n v="0.15"/>
    <n v="1591.45"/>
    <n v="3"/>
    <n v="0.05"/>
  </r>
  <r>
    <x v="20"/>
    <x v="3"/>
    <x v="3"/>
    <n v="91"/>
    <n v="5"/>
    <n v="605.11"/>
    <n v="2"/>
    <n v="0.4"/>
    <n v="3499.88"/>
    <n v="2"/>
    <n v="0.03"/>
  </r>
  <r>
    <x v="21"/>
    <x v="3"/>
    <x v="3"/>
    <n v="77"/>
    <n v="8"/>
    <n v="173.88"/>
    <n v="6"/>
    <n v="0.75"/>
    <n v="462.44"/>
    <n v="1"/>
    <n v="0.08"/>
  </r>
  <r>
    <x v="22"/>
    <x v="3"/>
    <x v="3"/>
    <n v="90"/>
    <n v="17"/>
    <n v="366.84"/>
    <n v="0"/>
    <n v="0"/>
    <n v="3153.56"/>
    <n v="3"/>
    <n v="0.02"/>
  </r>
  <r>
    <x v="23"/>
    <x v="3"/>
    <x v="3"/>
    <n v="33"/>
    <n v="9"/>
    <n v="578.41999999999996"/>
    <n v="4"/>
    <n v="0.44"/>
    <n v="229.72"/>
    <n v="2"/>
    <n v="7.0000000000000007E-2"/>
  </r>
  <r>
    <x v="24"/>
    <x v="3"/>
    <x v="3"/>
    <n v="42"/>
    <n v="14"/>
    <n v="321.29000000000002"/>
    <n v="7"/>
    <n v="0.5"/>
    <n v="4298.2700000000004"/>
    <n v="1"/>
    <n v="7.0000000000000007E-2"/>
  </r>
  <r>
    <x v="25"/>
    <x v="3"/>
    <x v="4"/>
    <n v="69"/>
    <n v="16"/>
    <n v="299.22000000000003"/>
    <n v="6"/>
    <n v="0.38"/>
    <n v="3716.14"/>
    <n v="3"/>
    <n v="0.03"/>
  </r>
  <r>
    <x v="0"/>
    <x v="3"/>
    <x v="4"/>
    <n v="68"/>
    <n v="11"/>
    <n v="345.62"/>
    <n v="4"/>
    <n v="0.36"/>
    <n v="3558.13"/>
    <n v="2"/>
    <n v="0.04"/>
  </r>
  <r>
    <x v="1"/>
    <x v="3"/>
    <x v="4"/>
    <n v="45"/>
    <n v="17"/>
    <n v="416.96"/>
    <n v="3"/>
    <n v="0.18"/>
    <n v="3327.07"/>
    <n v="1"/>
    <n v="0.04"/>
  </r>
  <r>
    <x v="2"/>
    <x v="3"/>
    <x v="4"/>
    <n v="17"/>
    <n v="8"/>
    <n v="72.05"/>
    <n v="3"/>
    <n v="0.38"/>
    <n v="1672.82"/>
    <n v="3"/>
    <n v="0.03"/>
  </r>
  <r>
    <x v="3"/>
    <x v="3"/>
    <x v="4"/>
    <n v="85"/>
    <n v="13"/>
    <n v="475.61"/>
    <n v="5"/>
    <n v="0.38"/>
    <n v="939.32"/>
    <n v="2"/>
    <n v="0.04"/>
  </r>
  <r>
    <x v="4"/>
    <x v="3"/>
    <x v="4"/>
    <n v="49"/>
    <n v="7"/>
    <n v="469.53"/>
    <n v="3"/>
    <n v="0.43"/>
    <n v="3623.32"/>
    <n v="1"/>
    <n v="0.01"/>
  </r>
  <r>
    <x v="5"/>
    <x v="3"/>
    <x v="4"/>
    <n v="66"/>
    <n v="15"/>
    <n v="333.1"/>
    <n v="2"/>
    <n v="0.13"/>
    <n v="2631.58"/>
    <n v="1"/>
    <n v="0.1"/>
  </r>
  <r>
    <x v="6"/>
    <x v="3"/>
    <x v="4"/>
    <n v="63"/>
    <n v="9"/>
    <n v="258.11"/>
    <n v="7"/>
    <n v="0.78"/>
    <n v="4064.36"/>
    <n v="3"/>
    <n v="0.04"/>
  </r>
  <r>
    <x v="7"/>
    <x v="3"/>
    <x v="4"/>
    <n v="31"/>
    <n v="20"/>
    <n v="400.8"/>
    <n v="8"/>
    <n v="0.4"/>
    <n v="1294.3599999999999"/>
    <n v="2"/>
    <n v="0.06"/>
  </r>
  <r>
    <x v="8"/>
    <x v="3"/>
    <x v="4"/>
    <n v="75"/>
    <n v="19"/>
    <n v="343.28"/>
    <n v="9"/>
    <n v="0.47"/>
    <n v="899.46"/>
    <n v="1"/>
    <n v="0.03"/>
  </r>
  <r>
    <x v="9"/>
    <x v="3"/>
    <x v="4"/>
    <n v="18"/>
    <n v="7"/>
    <n v="204.63"/>
    <n v="7"/>
    <n v="1"/>
    <n v="789.77"/>
    <n v="3"/>
    <n v="7.0000000000000007E-2"/>
  </r>
  <r>
    <x v="10"/>
    <x v="3"/>
    <x v="4"/>
    <n v="35"/>
    <n v="6"/>
    <n v="553.11"/>
    <n v="4"/>
    <n v="0.67"/>
    <n v="3867.67"/>
    <n v="2"/>
    <n v="0.04"/>
  </r>
  <r>
    <x v="11"/>
    <x v="3"/>
    <x v="4"/>
    <n v="74"/>
    <n v="20"/>
    <n v="623.33000000000004"/>
    <n v="2"/>
    <n v="0.1"/>
    <n v="359.97"/>
    <n v="1"/>
    <n v="0.04"/>
  </r>
  <r>
    <x v="12"/>
    <x v="3"/>
    <x v="4"/>
    <n v="26"/>
    <n v="7"/>
    <n v="200.45"/>
    <n v="1"/>
    <n v="0.14000000000000001"/>
    <n v="3797.35"/>
    <n v="3"/>
    <n v="0.04"/>
  </r>
  <r>
    <x v="13"/>
    <x v="3"/>
    <x v="4"/>
    <n v="50"/>
    <n v="7"/>
    <n v="196.2"/>
    <n v="2"/>
    <n v="0.28999999999999998"/>
    <n v="592.71"/>
    <n v="2"/>
    <n v="0.03"/>
  </r>
  <r>
    <x v="14"/>
    <x v="3"/>
    <x v="4"/>
    <n v="97"/>
    <n v="5"/>
    <n v="185.62"/>
    <n v="4"/>
    <n v="0.8"/>
    <n v="1282.81"/>
    <n v="1"/>
    <n v="7.0000000000000007E-2"/>
  </r>
  <r>
    <x v="15"/>
    <x v="3"/>
    <x v="4"/>
    <n v="91"/>
    <n v="7"/>
    <n v="89.39"/>
    <n v="6"/>
    <n v="0.86"/>
    <n v="3971.59"/>
    <n v="3"/>
    <n v="0.09"/>
  </r>
  <r>
    <x v="16"/>
    <x v="3"/>
    <x v="4"/>
    <n v="21"/>
    <n v="14"/>
    <n v="472.79"/>
    <n v="8"/>
    <n v="0.56999999999999995"/>
    <n v="3830.32"/>
    <n v="2"/>
    <n v="0.04"/>
  </r>
  <r>
    <x v="17"/>
    <x v="3"/>
    <x v="4"/>
    <n v="91"/>
    <n v="15"/>
    <n v="173.03"/>
    <n v="4"/>
    <n v="0.27"/>
    <n v="386.08"/>
    <n v="1"/>
    <n v="0.1"/>
  </r>
  <r>
    <x v="18"/>
    <x v="3"/>
    <x v="4"/>
    <n v="67"/>
    <n v="15"/>
    <n v="499.68"/>
    <n v="0"/>
    <n v="0"/>
    <n v="1287.1300000000001"/>
    <n v="3"/>
    <n v="0"/>
  </r>
  <r>
    <x v="19"/>
    <x v="3"/>
    <x v="4"/>
    <n v="19"/>
    <n v="13"/>
    <n v="316.23"/>
    <n v="1"/>
    <n v="0.08"/>
    <n v="1598.49"/>
    <n v="2"/>
    <n v="0.06"/>
  </r>
  <r>
    <x v="20"/>
    <x v="3"/>
    <x v="4"/>
    <n v="105"/>
    <n v="6"/>
    <n v="567.03"/>
    <n v="1"/>
    <n v="0.17"/>
    <n v="3496.65"/>
    <n v="1"/>
    <n v="0.03"/>
  </r>
  <r>
    <x v="21"/>
    <x v="3"/>
    <x v="4"/>
    <n v="73"/>
    <n v="8"/>
    <n v="175.52"/>
    <n v="7"/>
    <n v="0.88"/>
    <n v="455.32"/>
    <n v="3"/>
    <n v="0.09"/>
  </r>
  <r>
    <x v="22"/>
    <x v="3"/>
    <x v="4"/>
    <n v="111"/>
    <n v="13"/>
    <n v="358.31"/>
    <n v="0"/>
    <n v="0"/>
    <n v="2811.77"/>
    <n v="2"/>
    <n v="0.03"/>
  </r>
  <r>
    <x v="23"/>
    <x v="3"/>
    <x v="4"/>
    <n v="38"/>
    <n v="12"/>
    <n v="556.33000000000004"/>
    <n v="4"/>
    <n v="0.33"/>
    <n v="241.08"/>
    <n v="1"/>
    <n v="7.0000000000000007E-2"/>
  </r>
  <r>
    <x v="24"/>
    <x v="3"/>
    <x v="4"/>
    <n v="33"/>
    <n v="17"/>
    <n v="371.65"/>
    <n v="9"/>
    <n v="0.53"/>
    <n v="4068.75"/>
    <n v="3"/>
    <n v="0.09"/>
  </r>
  <r>
    <x v="25"/>
    <x v="3"/>
    <x v="5"/>
    <n v="59"/>
    <n v="16"/>
    <n v="359.47"/>
    <n v="7"/>
    <n v="0.44"/>
    <n v="3958.94"/>
    <n v="2"/>
    <n v="0.02"/>
  </r>
  <r>
    <x v="0"/>
    <x v="3"/>
    <x v="5"/>
    <n v="71"/>
    <n v="11"/>
    <n v="379.33"/>
    <n v="4"/>
    <n v="0.36"/>
    <n v="4003.52"/>
    <n v="1"/>
    <n v="0.04"/>
  </r>
  <r>
    <x v="1"/>
    <x v="3"/>
    <x v="5"/>
    <n v="48"/>
    <n v="14"/>
    <n v="383.94"/>
    <n v="3"/>
    <n v="0.21"/>
    <n v="3173.36"/>
    <n v="3"/>
    <n v="0.04"/>
  </r>
  <r>
    <x v="2"/>
    <x v="3"/>
    <x v="5"/>
    <n v="18"/>
    <n v="7"/>
    <n v="85.32"/>
    <n v="3"/>
    <n v="0.43"/>
    <n v="1431.69"/>
    <n v="2"/>
    <n v="0.03"/>
  </r>
  <r>
    <x v="3"/>
    <x v="3"/>
    <x v="5"/>
    <n v="93"/>
    <n v="14"/>
    <n v="466.81"/>
    <n v="5"/>
    <n v="0.36"/>
    <n v="988.98"/>
    <n v="1"/>
    <n v="0.04"/>
  </r>
  <r>
    <x v="4"/>
    <x v="4"/>
    <x v="5"/>
    <n v="49"/>
    <n v="7"/>
    <n v="512.88"/>
    <n v="2"/>
    <n v="0.28999999999999998"/>
    <n v="3545.66"/>
    <n v="1"/>
    <n v="0.01"/>
  </r>
  <r>
    <x v="5"/>
    <x v="4"/>
    <x v="5"/>
    <n v="85"/>
    <n v="17"/>
    <n v="324.56"/>
    <n v="3"/>
    <n v="0.18"/>
    <n v="2420.5300000000002"/>
    <n v="3"/>
    <n v="0.09"/>
  </r>
  <r>
    <x v="6"/>
    <x v="4"/>
    <x v="5"/>
    <n v="61"/>
    <n v="7"/>
    <n v="219.53"/>
    <n v="7"/>
    <n v="1"/>
    <n v="3860.12"/>
    <n v="2"/>
    <n v="0.04"/>
  </r>
  <r>
    <x v="7"/>
    <x v="4"/>
    <x v="5"/>
    <n v="30"/>
    <n v="16"/>
    <n v="353.65"/>
    <n v="9"/>
    <n v="0.56000000000000005"/>
    <n v="1213.5899999999999"/>
    <n v="1"/>
    <n v="0.06"/>
  </r>
  <r>
    <x v="8"/>
    <x v="4"/>
    <x v="5"/>
    <n v="54"/>
    <n v="16"/>
    <n v="334.41"/>
    <n v="9"/>
    <n v="0.56000000000000005"/>
    <n v="1056.98"/>
    <n v="3"/>
    <n v="0.04"/>
  </r>
  <r>
    <x v="9"/>
    <x v="4"/>
    <x v="5"/>
    <n v="19"/>
    <n v="7"/>
    <n v="199.46"/>
    <n v="7"/>
    <n v="1"/>
    <n v="809.56"/>
    <n v="2"/>
    <n v="7.0000000000000007E-2"/>
  </r>
  <r>
    <x v="10"/>
    <x v="4"/>
    <x v="5"/>
    <n v="40"/>
    <n v="6"/>
    <n v="509.67"/>
    <n v="4"/>
    <n v="0.67"/>
    <n v="3330.44"/>
    <n v="1"/>
    <n v="0.04"/>
  </r>
  <r>
    <x v="11"/>
    <x v="4"/>
    <x v="5"/>
    <n v="73"/>
    <n v="21"/>
    <n v="601.02"/>
    <n v="2"/>
    <n v="0.1"/>
    <n v="364.56"/>
    <n v="3"/>
    <n v="0.03"/>
  </r>
  <r>
    <x v="12"/>
    <x v="4"/>
    <x v="5"/>
    <n v="36"/>
    <n v="9"/>
    <n v="196.74"/>
    <n v="1"/>
    <n v="0.11"/>
    <n v="3760.57"/>
    <n v="2"/>
    <n v="0.04"/>
  </r>
  <r>
    <x v="13"/>
    <x v="4"/>
    <x v="5"/>
    <n v="58"/>
    <n v="8"/>
    <n v="196.58"/>
    <n v="3"/>
    <n v="0.38"/>
    <n v="692.47"/>
    <n v="1"/>
    <n v="0.03"/>
  </r>
  <r>
    <x v="14"/>
    <x v="4"/>
    <x v="5"/>
    <n v="100"/>
    <n v="5"/>
    <n v="153.87"/>
    <n v="2"/>
    <n v="0.4"/>
    <n v="1190.24"/>
    <n v="3"/>
    <n v="0.08"/>
  </r>
  <r>
    <x v="15"/>
    <x v="4"/>
    <x v="5"/>
    <n v="93"/>
    <n v="5"/>
    <n v="85.65"/>
    <n v="5"/>
    <n v="1"/>
    <n v="3913.17"/>
    <n v="2"/>
    <n v="0.1"/>
  </r>
  <r>
    <x v="16"/>
    <x v="4"/>
    <x v="5"/>
    <n v="28"/>
    <n v="16"/>
    <n v="506.95"/>
    <n v="6"/>
    <n v="0.38"/>
    <n v="3993.03"/>
    <n v="3"/>
    <n v="0.03"/>
  </r>
  <r>
    <x v="17"/>
    <x v="4"/>
    <x v="5"/>
    <n v="88"/>
    <n v="18"/>
    <n v="181.21"/>
    <n v="4"/>
    <n v="0.22"/>
    <n v="377.13"/>
    <n v="2"/>
    <n v="0.1"/>
  </r>
  <r>
    <x v="18"/>
    <x v="4"/>
    <x v="5"/>
    <n v="69"/>
    <n v="16"/>
    <n v="495.32"/>
    <n v="0"/>
    <n v="0"/>
    <n v="1262.99"/>
    <n v="1"/>
    <n v="0"/>
  </r>
  <r>
    <x v="19"/>
    <x v="4"/>
    <x v="5"/>
    <n v="21"/>
    <n v="16"/>
    <n v="315.91000000000003"/>
    <n v="1"/>
    <n v="0.06"/>
    <n v="1455.83"/>
    <n v="3"/>
    <n v="0.05"/>
  </r>
  <r>
    <x v="20"/>
    <x v="4"/>
    <x v="5"/>
    <n v="92"/>
    <n v="5"/>
    <n v="569.75"/>
    <n v="2"/>
    <n v="0.4"/>
    <n v="3734.43"/>
    <n v="2"/>
    <n v="0.03"/>
  </r>
  <r>
    <x v="21"/>
    <x v="4"/>
    <x v="5"/>
    <n v="58"/>
    <n v="7"/>
    <n v="173.24"/>
    <n v="7"/>
    <n v="1"/>
    <n v="525.73"/>
    <n v="1"/>
    <n v="0.08"/>
  </r>
  <r>
    <x v="22"/>
    <x v="4"/>
    <x v="5"/>
    <n v="114"/>
    <n v="13"/>
    <n v="364.35"/>
    <n v="0"/>
    <n v="0"/>
    <n v="2988.28"/>
    <n v="3"/>
    <n v="0.03"/>
  </r>
  <r>
    <x v="23"/>
    <x v="4"/>
    <x v="5"/>
    <n v="35"/>
    <n v="12"/>
    <n v="515.24"/>
    <n v="5"/>
    <n v="0.42"/>
    <n v="224.24"/>
    <n v="2"/>
    <n v="7.0000000000000007E-2"/>
  </r>
  <r>
    <x v="24"/>
    <x v="4"/>
    <x v="5"/>
    <n v="35"/>
    <n v="16"/>
    <n v="351.71"/>
    <n v="9"/>
    <n v="0.56000000000000005"/>
    <n v="3984.69"/>
    <n v="1"/>
    <n v="7.0000000000000007E-2"/>
  </r>
  <r>
    <x v="25"/>
    <x v="4"/>
    <x v="6"/>
    <n v="71"/>
    <n v="17"/>
    <n v="360.1"/>
    <n v="6"/>
    <n v="0.35"/>
    <n v="4444.83"/>
    <n v="3"/>
    <n v="0.03"/>
  </r>
  <r>
    <x v="0"/>
    <x v="4"/>
    <x v="6"/>
    <n v="62"/>
    <n v="13"/>
    <n v="364.64"/>
    <n v="4"/>
    <n v="0.31"/>
    <n v="3704.33"/>
    <n v="2"/>
    <n v="0.04"/>
  </r>
  <r>
    <x v="1"/>
    <x v="4"/>
    <x v="6"/>
    <n v="53"/>
    <n v="14"/>
    <n v="367.56"/>
    <n v="2"/>
    <n v="0.14000000000000001"/>
    <n v="3514.07"/>
    <n v="1"/>
    <n v="0.04"/>
  </r>
  <r>
    <x v="2"/>
    <x v="4"/>
    <x v="6"/>
    <n v="18"/>
    <n v="6"/>
    <n v="76.27"/>
    <n v="4"/>
    <n v="0.67"/>
    <n v="1597.98"/>
    <n v="1"/>
    <n v="0.03"/>
  </r>
  <r>
    <x v="3"/>
    <x v="4"/>
    <x v="6"/>
    <n v="71"/>
    <n v="12"/>
    <n v="487.04"/>
    <n v="5"/>
    <n v="0.42"/>
    <n v="1004.9"/>
    <n v="3"/>
    <n v="0.04"/>
  </r>
  <r>
    <x v="4"/>
    <x v="4"/>
    <x v="6"/>
    <n v="70"/>
    <n v="5"/>
    <n v="491.31"/>
    <n v="3"/>
    <n v="0.6"/>
    <n v="3289.06"/>
    <n v="2"/>
    <n v="0.01"/>
  </r>
  <r>
    <x v="5"/>
    <x v="4"/>
    <x v="6"/>
    <n v="77"/>
    <n v="15"/>
    <n v="282.58999999999997"/>
    <n v="2"/>
    <n v="0.13"/>
    <n v="2296.14"/>
    <n v="1"/>
    <n v="0.1"/>
  </r>
  <r>
    <x v="6"/>
    <x v="4"/>
    <x v="6"/>
    <n v="50"/>
    <n v="9"/>
    <n v="246.06"/>
    <n v="5"/>
    <n v="0.56000000000000005"/>
    <n v="4227.22"/>
    <n v="3"/>
    <n v="0.04"/>
  </r>
  <r>
    <x v="7"/>
    <x v="4"/>
    <x v="6"/>
    <n v="31"/>
    <n v="15"/>
    <n v="347.38"/>
    <n v="10"/>
    <n v="0.67"/>
    <n v="1101.06"/>
    <n v="2"/>
    <n v="0.06"/>
  </r>
  <r>
    <x v="8"/>
    <x v="4"/>
    <x v="6"/>
    <n v="77"/>
    <n v="16"/>
    <n v="335.59"/>
    <n v="7"/>
    <n v="0.44"/>
    <n v="1087.4100000000001"/>
    <n v="1"/>
    <n v="0.04"/>
  </r>
  <r>
    <x v="9"/>
    <x v="4"/>
    <x v="6"/>
    <n v="17"/>
    <n v="8"/>
    <n v="208.21"/>
    <n v="4"/>
    <n v="0.5"/>
    <n v="828.73"/>
    <n v="3"/>
    <n v="7.0000000000000007E-2"/>
  </r>
  <r>
    <x v="10"/>
    <x v="4"/>
    <x v="6"/>
    <n v="32"/>
    <n v="6"/>
    <n v="553.58000000000004"/>
    <n v="3"/>
    <n v="0.5"/>
    <n v="3939.56"/>
    <n v="2"/>
    <n v="0.04"/>
  </r>
  <r>
    <x v="11"/>
    <x v="4"/>
    <x v="6"/>
    <n v="72"/>
    <n v="21"/>
    <n v="604.57000000000005"/>
    <n v="2"/>
    <n v="0.1"/>
    <n v="327.82"/>
    <n v="1"/>
    <n v="0.04"/>
  </r>
  <r>
    <x v="12"/>
    <x v="4"/>
    <x v="6"/>
    <n v="34"/>
    <n v="7"/>
    <n v="199.39"/>
    <n v="1"/>
    <n v="0.14000000000000001"/>
    <n v="3767.74"/>
    <n v="3"/>
    <n v="0.04"/>
  </r>
  <r>
    <x v="13"/>
    <x v="4"/>
    <x v="6"/>
    <n v="71"/>
    <n v="9"/>
    <n v="220.4"/>
    <n v="2"/>
    <n v="0.22"/>
    <n v="692.29"/>
    <n v="2"/>
    <n v="0.03"/>
  </r>
  <r>
    <x v="14"/>
    <x v="4"/>
    <x v="6"/>
    <n v="83"/>
    <n v="5"/>
    <n v="166.85"/>
    <n v="4"/>
    <n v="0.8"/>
    <n v="1364.24"/>
    <n v="1"/>
    <n v="0.08"/>
  </r>
  <r>
    <x v="15"/>
    <x v="4"/>
    <x v="6"/>
    <n v="71"/>
    <n v="7"/>
    <n v="78.53"/>
    <n v="4"/>
    <n v="0.56999999999999995"/>
    <n v="3652.64"/>
    <n v="3"/>
    <n v="0.09"/>
  </r>
  <r>
    <x v="16"/>
    <x v="4"/>
    <x v="6"/>
    <n v="24"/>
    <n v="13"/>
    <n v="471.72"/>
    <n v="7"/>
    <n v="0.54"/>
    <n v="3588.89"/>
    <n v="2"/>
    <n v="0.04"/>
  </r>
  <r>
    <x v="17"/>
    <x v="4"/>
    <x v="6"/>
    <n v="75"/>
    <n v="17"/>
    <n v="176.07"/>
    <n v="5"/>
    <n v="0.28999999999999998"/>
    <n v="458.18"/>
    <n v="1"/>
    <n v="0.1"/>
  </r>
  <r>
    <x v="18"/>
    <x v="4"/>
    <x v="6"/>
    <n v="76"/>
    <n v="11"/>
    <n v="486.93"/>
    <n v="0"/>
    <n v="0"/>
    <n v="1219.29"/>
    <n v="3"/>
    <n v="0"/>
  </r>
  <r>
    <x v="19"/>
    <x v="4"/>
    <x v="6"/>
    <n v="20"/>
    <n v="14"/>
    <n v="283.66000000000003"/>
    <n v="2"/>
    <n v="0.14000000000000001"/>
    <n v="1494.14"/>
    <n v="2"/>
    <n v="0.06"/>
  </r>
  <r>
    <x v="20"/>
    <x v="4"/>
    <x v="6"/>
    <n v="79"/>
    <n v="6"/>
    <n v="536.04999999999995"/>
    <n v="1"/>
    <n v="0.17"/>
    <n v="3682.29"/>
    <n v="1"/>
    <n v="0.03"/>
  </r>
  <r>
    <x v="21"/>
    <x v="4"/>
    <x v="6"/>
    <n v="82"/>
    <n v="9"/>
    <n v="171.86"/>
    <n v="7"/>
    <n v="0.78"/>
    <n v="506.88"/>
    <n v="3"/>
    <n v="0.09"/>
  </r>
  <r>
    <x v="22"/>
    <x v="4"/>
    <x v="6"/>
    <n v="103"/>
    <n v="15"/>
    <n v="359.16"/>
    <n v="1"/>
    <n v="7.0000000000000007E-2"/>
    <n v="2949.94"/>
    <n v="2"/>
    <n v="0.02"/>
  </r>
  <r>
    <x v="23"/>
    <x v="4"/>
    <x v="6"/>
    <n v="41"/>
    <n v="9"/>
    <n v="569.97"/>
    <n v="5"/>
    <n v="0.56000000000000005"/>
    <n v="259.86"/>
    <n v="1"/>
    <n v="0.06"/>
  </r>
  <r>
    <x v="24"/>
    <x v="4"/>
    <x v="6"/>
    <n v="38"/>
    <n v="14"/>
    <n v="359.22"/>
    <n v="8"/>
    <n v="0.56999999999999995"/>
    <n v="3846.34"/>
    <n v="3"/>
    <n v="0.09"/>
  </r>
  <r>
    <x v="25"/>
    <x v="4"/>
    <x v="7"/>
    <n v="71"/>
    <n v="15"/>
    <n v="297.05"/>
    <n v="6"/>
    <n v="0.4"/>
    <n v="4043.62"/>
    <n v="2"/>
    <n v="0.03"/>
  </r>
  <r>
    <x v="0"/>
    <x v="4"/>
    <x v="7"/>
    <n v="66"/>
    <n v="13"/>
    <n v="376.76"/>
    <n v="5"/>
    <n v="0.38"/>
    <n v="3819.73"/>
    <n v="1"/>
    <n v="0.04"/>
  </r>
  <r>
    <x v="1"/>
    <x v="4"/>
    <x v="7"/>
    <n v="53"/>
    <n v="15"/>
    <n v="379.29"/>
    <n v="2"/>
    <n v="0.13"/>
    <n v="3409.69"/>
    <n v="1"/>
    <n v="0.04"/>
  </r>
  <r>
    <x v="2"/>
    <x v="4"/>
    <x v="7"/>
    <n v="18"/>
    <n v="8"/>
    <n v="82.91"/>
    <n v="3"/>
    <n v="0.38"/>
    <n v="1387.86"/>
    <n v="3"/>
    <n v="0.03"/>
  </r>
  <r>
    <x v="3"/>
    <x v="4"/>
    <x v="7"/>
    <n v="72"/>
    <n v="14"/>
    <n v="437.47"/>
    <n v="4"/>
    <n v="0.28999999999999998"/>
    <n v="958.02"/>
    <n v="2"/>
    <n v="0.04"/>
  </r>
  <r>
    <x v="4"/>
    <x v="4"/>
    <x v="7"/>
    <n v="64"/>
    <n v="7"/>
    <n v="554.20000000000005"/>
    <n v="2"/>
    <n v="0.28999999999999998"/>
    <n v="3620.9"/>
    <n v="1"/>
    <n v="0.01"/>
  </r>
  <r>
    <x v="5"/>
    <x v="4"/>
    <x v="7"/>
    <n v="76"/>
    <n v="21"/>
    <n v="293.93"/>
    <n v="2"/>
    <n v="0.1"/>
    <n v="2531.4"/>
    <n v="3"/>
    <n v="0.1"/>
  </r>
  <r>
    <x v="6"/>
    <x v="4"/>
    <x v="7"/>
    <n v="64"/>
    <n v="9"/>
    <n v="255.17"/>
    <n v="6"/>
    <n v="0.67"/>
    <n v="4136.6899999999996"/>
    <n v="2"/>
    <n v="0.04"/>
  </r>
  <r>
    <x v="7"/>
    <x v="4"/>
    <x v="7"/>
    <n v="26"/>
    <n v="17"/>
    <n v="391.73"/>
    <n v="7"/>
    <n v="0.41"/>
    <n v="1166.55"/>
    <n v="1"/>
    <n v="0.06"/>
  </r>
  <r>
    <x v="8"/>
    <x v="4"/>
    <x v="7"/>
    <n v="65"/>
    <n v="13"/>
    <n v="324.26"/>
    <n v="7"/>
    <n v="0.54"/>
    <n v="1044.8599999999999"/>
    <n v="3"/>
    <n v="0.04"/>
  </r>
  <r>
    <x v="9"/>
    <x v="4"/>
    <x v="7"/>
    <n v="22"/>
    <n v="9"/>
    <n v="211.28"/>
    <n v="8"/>
    <n v="0.89"/>
    <n v="772.77"/>
    <n v="2"/>
    <n v="0.08"/>
  </r>
  <r>
    <x v="10"/>
    <x v="4"/>
    <x v="7"/>
    <n v="30"/>
    <n v="6"/>
    <n v="549.26"/>
    <n v="2"/>
    <n v="0.33"/>
    <n v="3868.36"/>
    <n v="1"/>
    <n v="0.04"/>
  </r>
  <r>
    <x v="11"/>
    <x v="4"/>
    <x v="7"/>
    <n v="83"/>
    <n v="15"/>
    <n v="601.05999999999995"/>
    <n v="3"/>
    <n v="0.2"/>
    <n v="350.62"/>
    <n v="3"/>
    <n v="0.04"/>
  </r>
  <r>
    <x v="12"/>
    <x v="4"/>
    <x v="7"/>
    <n v="35"/>
    <n v="6"/>
    <n v="192.19"/>
    <n v="1"/>
    <n v="0.17"/>
    <n v="3963.32"/>
    <n v="2"/>
    <n v="0.04"/>
  </r>
  <r>
    <x v="13"/>
    <x v="4"/>
    <x v="7"/>
    <n v="73"/>
    <n v="8"/>
    <n v="191.76"/>
    <n v="3"/>
    <n v="0.38"/>
    <n v="675.97"/>
    <n v="3"/>
    <n v="0.03"/>
  </r>
  <r>
    <x v="14"/>
    <x v="4"/>
    <x v="7"/>
    <n v="104"/>
    <n v="4"/>
    <n v="169.75"/>
    <n v="3"/>
    <n v="0.75"/>
    <n v="1255.83"/>
    <n v="2"/>
    <n v="0.08"/>
  </r>
  <r>
    <x v="15"/>
    <x v="4"/>
    <x v="7"/>
    <n v="71"/>
    <n v="6"/>
    <n v="87.5"/>
    <n v="3"/>
    <n v="0.5"/>
    <n v="3666.64"/>
    <n v="1"/>
    <n v="0.09"/>
  </r>
  <r>
    <x v="16"/>
    <x v="4"/>
    <x v="7"/>
    <n v="22"/>
    <n v="14"/>
    <n v="477.3"/>
    <n v="6"/>
    <n v="0.43"/>
    <n v="3790.05"/>
    <n v="3"/>
    <n v="0.03"/>
  </r>
  <r>
    <x v="17"/>
    <x v="4"/>
    <x v="7"/>
    <n v="85"/>
    <n v="17"/>
    <n v="187.72"/>
    <n v="5"/>
    <n v="0.28999999999999998"/>
    <n v="443.22"/>
    <n v="2"/>
    <n v="0.1"/>
  </r>
  <r>
    <x v="18"/>
    <x v="4"/>
    <x v="7"/>
    <n v="80"/>
    <n v="13"/>
    <n v="504.59"/>
    <n v="0"/>
    <n v="0"/>
    <n v="1265.47"/>
    <n v="1"/>
    <n v="0"/>
  </r>
  <r>
    <x v="19"/>
    <x v="4"/>
    <x v="7"/>
    <n v="18"/>
    <n v="12"/>
    <n v="262.26"/>
    <n v="1"/>
    <n v="0.08"/>
    <n v="1573.7"/>
    <n v="3"/>
    <n v="0.05"/>
  </r>
  <r>
    <x v="20"/>
    <x v="4"/>
    <x v="7"/>
    <n v="106"/>
    <n v="6"/>
    <n v="572.16"/>
    <n v="2"/>
    <n v="0.33"/>
    <n v="3398.37"/>
    <n v="2"/>
    <n v="0.03"/>
  </r>
  <r>
    <x v="21"/>
    <x v="4"/>
    <x v="7"/>
    <n v="71"/>
    <n v="9"/>
    <n v="172.96"/>
    <n v="6"/>
    <n v="0.67"/>
    <n v="464.49"/>
    <n v="1"/>
    <n v="0.08"/>
  </r>
  <r>
    <x v="22"/>
    <x v="4"/>
    <x v="7"/>
    <n v="115"/>
    <n v="17"/>
    <n v="422.48"/>
    <n v="0"/>
    <n v="0"/>
    <n v="2681.51"/>
    <n v="3"/>
    <n v="0.03"/>
  </r>
  <r>
    <x v="23"/>
    <x v="4"/>
    <x v="7"/>
    <n v="34"/>
    <n v="10"/>
    <n v="565.11"/>
    <n v="5"/>
    <n v="0.5"/>
    <n v="222.62"/>
    <n v="2"/>
    <n v="7.0000000000000007E-2"/>
  </r>
  <r>
    <x v="24"/>
    <x v="4"/>
    <x v="7"/>
    <n v="40"/>
    <n v="17"/>
    <n v="355.83"/>
    <n v="6"/>
    <n v="0.35"/>
    <n v="4155.8599999999997"/>
    <n v="1"/>
    <n v="0.09"/>
  </r>
  <r>
    <x v="25"/>
    <x v="4"/>
    <x v="8"/>
    <n v="51"/>
    <n v="15"/>
    <n v="349.71"/>
    <n v="8"/>
    <n v="0.53"/>
    <n v="4017.54"/>
    <n v="1"/>
    <n v="0.03"/>
  </r>
  <r>
    <x v="0"/>
    <x v="4"/>
    <x v="8"/>
    <n v="79"/>
    <n v="9"/>
    <n v="358.67"/>
    <n v="5"/>
    <n v="0.56000000000000005"/>
    <n v="3658.64"/>
    <n v="3"/>
    <n v="0.04"/>
  </r>
  <r>
    <x v="1"/>
    <x v="4"/>
    <x v="8"/>
    <n v="57"/>
    <n v="18"/>
    <n v="403.41"/>
    <n v="3"/>
    <n v="0.17"/>
    <n v="3767.63"/>
    <n v="2"/>
    <n v="0.04"/>
  </r>
  <r>
    <x v="2"/>
    <x v="4"/>
    <x v="8"/>
    <n v="24"/>
    <n v="7"/>
    <n v="79.62"/>
    <n v="4"/>
    <n v="0.56999999999999995"/>
    <n v="1650.69"/>
    <n v="1"/>
    <n v="0.03"/>
  </r>
  <r>
    <x v="3"/>
    <x v="4"/>
    <x v="8"/>
    <n v="77"/>
    <n v="11"/>
    <n v="487.47"/>
    <n v="4"/>
    <n v="0.36"/>
    <n v="990.89"/>
    <n v="3"/>
    <n v="0.04"/>
  </r>
  <r>
    <x v="4"/>
    <x v="4"/>
    <x v="8"/>
    <n v="69"/>
    <n v="7"/>
    <n v="549.77"/>
    <n v="2"/>
    <n v="0.28999999999999998"/>
    <n v="3916.58"/>
    <n v="2"/>
    <n v="0.01"/>
  </r>
  <r>
    <x v="5"/>
    <x v="4"/>
    <x v="8"/>
    <n v="74"/>
    <n v="18"/>
    <n v="306.89999999999998"/>
    <n v="3"/>
    <n v="0.17"/>
    <n v="2254.16"/>
    <n v="1"/>
    <n v="0.1"/>
  </r>
  <r>
    <x v="6"/>
    <x v="4"/>
    <x v="8"/>
    <n v="57"/>
    <n v="7"/>
    <n v="262.27999999999997"/>
    <n v="7"/>
    <n v="1"/>
    <n v="3929.11"/>
    <n v="3"/>
    <n v="0.04"/>
  </r>
  <r>
    <x v="7"/>
    <x v="4"/>
    <x v="8"/>
    <n v="26"/>
    <n v="21"/>
    <n v="359.51"/>
    <n v="9"/>
    <n v="0.43"/>
    <n v="1187.3699999999999"/>
    <n v="2"/>
    <n v="0.05"/>
  </r>
  <r>
    <x v="8"/>
    <x v="4"/>
    <x v="8"/>
    <n v="76"/>
    <n v="18"/>
    <n v="339.1"/>
    <n v="8"/>
    <n v="0.44"/>
    <n v="924.79"/>
    <n v="1"/>
    <n v="0.04"/>
  </r>
  <r>
    <x v="9"/>
    <x v="4"/>
    <x v="8"/>
    <n v="22"/>
    <n v="7"/>
    <n v="182.47"/>
    <n v="7"/>
    <n v="1"/>
    <n v="779.86"/>
    <n v="3"/>
    <n v="7.0000000000000007E-2"/>
  </r>
  <r>
    <x v="10"/>
    <x v="4"/>
    <x v="8"/>
    <n v="38"/>
    <n v="6"/>
    <n v="553.89"/>
    <n v="6"/>
    <n v="1"/>
    <n v="4013.79"/>
    <n v="2"/>
    <n v="0.04"/>
  </r>
  <r>
    <x v="11"/>
    <x v="4"/>
    <x v="8"/>
    <n v="87"/>
    <n v="21"/>
    <n v="633.13"/>
    <n v="2"/>
    <n v="0.1"/>
    <n v="336.22"/>
    <n v="1"/>
    <n v="0.03"/>
  </r>
  <r>
    <x v="12"/>
    <x v="4"/>
    <x v="8"/>
    <n v="37"/>
    <n v="8"/>
    <n v="215.09"/>
    <n v="2"/>
    <n v="0.25"/>
    <n v="3424.83"/>
    <n v="3"/>
    <n v="0.04"/>
  </r>
  <r>
    <x v="13"/>
    <x v="4"/>
    <x v="8"/>
    <n v="71"/>
    <n v="8"/>
    <n v="199.19"/>
    <n v="2"/>
    <n v="0.25"/>
    <n v="635.24"/>
    <n v="2"/>
    <n v="0.03"/>
  </r>
  <r>
    <x v="14"/>
    <x v="4"/>
    <x v="8"/>
    <n v="81"/>
    <n v="5"/>
    <n v="153.5"/>
    <n v="2"/>
    <n v="0.4"/>
    <n v="1307.47"/>
    <n v="1"/>
    <n v="7.0000000000000007E-2"/>
  </r>
  <r>
    <x v="15"/>
    <x v="4"/>
    <x v="8"/>
    <n v="93"/>
    <n v="5"/>
    <n v="77.12"/>
    <n v="2"/>
    <n v="0.4"/>
    <n v="3483.91"/>
    <n v="3"/>
    <n v="0.1"/>
  </r>
  <r>
    <x v="16"/>
    <x v="4"/>
    <x v="8"/>
    <n v="21"/>
    <n v="17"/>
    <n v="533.41999999999996"/>
    <n v="7"/>
    <n v="0.41"/>
    <n v="3895.32"/>
    <n v="2"/>
    <n v="0.03"/>
  </r>
  <r>
    <x v="17"/>
    <x v="4"/>
    <x v="8"/>
    <n v="86"/>
    <n v="17"/>
    <n v="160.88999999999999"/>
    <n v="4"/>
    <n v="0.24"/>
    <n v="418.33"/>
    <n v="1"/>
    <n v="0.09"/>
  </r>
  <r>
    <x v="18"/>
    <x v="4"/>
    <x v="8"/>
    <n v="72"/>
    <n v="11"/>
    <n v="459.86"/>
    <n v="0"/>
    <n v="0"/>
    <n v="1269.5999999999999"/>
    <n v="3"/>
    <n v="0"/>
  </r>
  <r>
    <x v="19"/>
    <x v="4"/>
    <x v="8"/>
    <n v="18"/>
    <n v="13"/>
    <n v="290.14"/>
    <n v="2"/>
    <n v="0.15"/>
    <n v="1444.65"/>
    <n v="2"/>
    <n v="0.05"/>
  </r>
  <r>
    <x v="20"/>
    <x v="4"/>
    <x v="8"/>
    <n v="105"/>
    <n v="7"/>
    <n v="587.83000000000004"/>
    <n v="1"/>
    <n v="0.14000000000000001"/>
    <n v="3601.93"/>
    <n v="1"/>
    <n v="0.03"/>
  </r>
  <r>
    <x v="21"/>
    <x v="4"/>
    <x v="8"/>
    <n v="75"/>
    <n v="8"/>
    <n v="177.88"/>
    <n v="7"/>
    <n v="0.88"/>
    <n v="507.1"/>
    <n v="3"/>
    <n v="0.1"/>
  </r>
  <r>
    <x v="22"/>
    <x v="4"/>
    <x v="8"/>
    <n v="98"/>
    <n v="12"/>
    <n v="406.95"/>
    <n v="0"/>
    <n v="0"/>
    <n v="2978.09"/>
    <n v="2"/>
    <n v="0.02"/>
  </r>
  <r>
    <x v="23"/>
    <x v="4"/>
    <x v="8"/>
    <n v="33"/>
    <n v="13"/>
    <n v="517.1"/>
    <n v="4"/>
    <n v="0.31"/>
    <n v="250.08"/>
    <n v="1"/>
    <n v="7.0000000000000007E-2"/>
  </r>
  <r>
    <x v="24"/>
    <x v="4"/>
    <x v="8"/>
    <n v="35"/>
    <n v="18"/>
    <n v="348.92"/>
    <n v="7"/>
    <n v="0.39"/>
    <n v="4381.3900000000003"/>
    <n v="1"/>
    <n v="0.09"/>
  </r>
  <r>
    <x v="25"/>
    <x v="4"/>
    <x v="9"/>
    <n v="74"/>
    <n v="16"/>
    <n v="308.51"/>
    <n v="7"/>
    <n v="0.44"/>
    <n v="4267.5"/>
    <n v="3"/>
    <n v="0.03"/>
  </r>
  <r>
    <x v="0"/>
    <x v="4"/>
    <x v="9"/>
    <n v="72"/>
    <n v="10"/>
    <n v="362.58"/>
    <n v="5"/>
    <n v="0.5"/>
    <n v="3679.65"/>
    <n v="2"/>
    <n v="0.04"/>
  </r>
  <r>
    <x v="1"/>
    <x v="4"/>
    <x v="9"/>
    <n v="58"/>
    <n v="13"/>
    <n v="368.06"/>
    <n v="2"/>
    <n v="0.15"/>
    <n v="3626.22"/>
    <n v="1"/>
    <n v="0.04"/>
  </r>
  <r>
    <x v="2"/>
    <x v="4"/>
    <x v="9"/>
    <n v="22"/>
    <n v="7"/>
    <n v="74.680000000000007"/>
    <n v="4"/>
    <n v="0.56999999999999995"/>
    <n v="1543.72"/>
    <n v="3"/>
    <n v="0.03"/>
  </r>
  <r>
    <x v="3"/>
    <x v="4"/>
    <x v="9"/>
    <n v="74"/>
    <n v="15"/>
    <n v="460.2"/>
    <n v="4"/>
    <n v="0.27"/>
    <n v="980.1"/>
    <n v="2"/>
    <n v="0.04"/>
  </r>
  <r>
    <x v="4"/>
    <x v="4"/>
    <x v="9"/>
    <n v="62"/>
    <n v="8"/>
    <n v="540.79999999999995"/>
    <n v="3"/>
    <n v="0.38"/>
    <n v="3928.71"/>
    <n v="1"/>
    <n v="0.01"/>
  </r>
  <r>
    <x v="5"/>
    <x v="4"/>
    <x v="9"/>
    <n v="70"/>
    <n v="21"/>
    <n v="319.62"/>
    <n v="3"/>
    <n v="0.14000000000000001"/>
    <n v="2486.2199999999998"/>
    <n v="3"/>
    <n v="0.1"/>
  </r>
  <r>
    <x v="6"/>
    <x v="4"/>
    <x v="9"/>
    <n v="51"/>
    <n v="7"/>
    <n v="248.37"/>
    <n v="7"/>
    <n v="1"/>
    <n v="3946.23"/>
    <n v="2"/>
    <n v="0.04"/>
  </r>
  <r>
    <x v="7"/>
    <x v="4"/>
    <x v="9"/>
    <n v="32"/>
    <n v="16"/>
    <n v="393.04"/>
    <n v="7"/>
    <n v="0.44"/>
    <n v="1286.18"/>
    <n v="1"/>
    <n v="0.06"/>
  </r>
  <r>
    <x v="8"/>
    <x v="4"/>
    <x v="9"/>
    <n v="71"/>
    <n v="16"/>
    <n v="323.56"/>
    <n v="9"/>
    <n v="0.56000000000000005"/>
    <n v="957.05"/>
    <n v="3"/>
    <n v="0.03"/>
  </r>
  <r>
    <x v="9"/>
    <x v="4"/>
    <x v="9"/>
    <n v="17"/>
    <n v="7"/>
    <n v="205.3"/>
    <n v="4"/>
    <n v="0.56999999999999995"/>
    <n v="762.2"/>
    <n v="2"/>
    <n v="7.0000000000000007E-2"/>
  </r>
  <r>
    <x v="10"/>
    <x v="4"/>
    <x v="9"/>
    <n v="35"/>
    <n v="6"/>
    <n v="544.78"/>
    <n v="5"/>
    <n v="0.83"/>
    <n v="3420.99"/>
    <n v="3"/>
    <n v="0.04"/>
  </r>
  <r>
    <x v="11"/>
    <x v="4"/>
    <x v="9"/>
    <n v="73"/>
    <n v="17"/>
    <n v="557.29999999999995"/>
    <n v="3"/>
    <n v="0.18"/>
    <n v="376.66"/>
    <n v="2"/>
    <n v="0.03"/>
  </r>
  <r>
    <x v="12"/>
    <x v="4"/>
    <x v="9"/>
    <n v="27"/>
    <n v="6"/>
    <n v="202.37"/>
    <n v="1"/>
    <n v="0.17"/>
    <n v="3781.81"/>
    <n v="1"/>
    <n v="0.04"/>
  </r>
  <r>
    <x v="13"/>
    <x v="4"/>
    <x v="9"/>
    <n v="49"/>
    <n v="7"/>
    <n v="204.14"/>
    <n v="3"/>
    <n v="0.43"/>
    <n v="636.65"/>
    <n v="3"/>
    <n v="0.03"/>
  </r>
  <r>
    <x v="14"/>
    <x v="4"/>
    <x v="9"/>
    <n v="106"/>
    <n v="5"/>
    <n v="163.38"/>
    <n v="1"/>
    <n v="0.2"/>
    <n v="1148.1400000000001"/>
    <n v="2"/>
    <n v="0.08"/>
  </r>
  <r>
    <x v="15"/>
    <x v="4"/>
    <x v="9"/>
    <n v="102"/>
    <n v="5"/>
    <n v="86.37"/>
    <n v="5"/>
    <n v="1"/>
    <n v="3851.19"/>
    <n v="1"/>
    <n v="0.08"/>
  </r>
  <r>
    <x v="16"/>
    <x v="4"/>
    <x v="9"/>
    <n v="21"/>
    <n v="14"/>
    <n v="537.36"/>
    <n v="7"/>
    <n v="0.5"/>
    <n v="3767.78"/>
    <n v="3"/>
    <n v="0.03"/>
  </r>
  <r>
    <x v="17"/>
    <x v="4"/>
    <x v="9"/>
    <n v="104"/>
    <n v="20"/>
    <n v="181.9"/>
    <n v="4"/>
    <n v="0.2"/>
    <n v="400.92"/>
    <n v="2"/>
    <n v="0.1"/>
  </r>
  <r>
    <x v="18"/>
    <x v="4"/>
    <x v="9"/>
    <n v="64"/>
    <n v="15"/>
    <n v="514.38"/>
    <n v="0"/>
    <n v="0"/>
    <n v="1220.5899999999999"/>
    <n v="1"/>
    <n v="0"/>
  </r>
  <r>
    <x v="19"/>
    <x v="4"/>
    <x v="9"/>
    <n v="21"/>
    <n v="15"/>
    <n v="309.75"/>
    <n v="2"/>
    <n v="0.13"/>
    <n v="1649.09"/>
    <n v="3"/>
    <n v="0.05"/>
  </r>
  <r>
    <x v="20"/>
    <x v="4"/>
    <x v="9"/>
    <n v="108"/>
    <n v="6"/>
    <n v="515.27"/>
    <n v="2"/>
    <n v="0.33"/>
    <n v="3183.87"/>
    <n v="2"/>
    <n v="0.03"/>
  </r>
  <r>
    <x v="21"/>
    <x v="4"/>
    <x v="9"/>
    <n v="63"/>
    <n v="10"/>
    <n v="194.21"/>
    <n v="7"/>
    <n v="0.7"/>
    <n v="508.84"/>
    <n v="1"/>
    <n v="0.09"/>
  </r>
  <r>
    <x v="22"/>
    <x v="4"/>
    <x v="9"/>
    <n v="85"/>
    <n v="15"/>
    <n v="400.65"/>
    <n v="0"/>
    <n v="0"/>
    <n v="2890.62"/>
    <n v="1"/>
    <n v="0.02"/>
  </r>
  <r>
    <x v="23"/>
    <x v="4"/>
    <x v="9"/>
    <n v="36"/>
    <n v="10"/>
    <n v="535.44000000000005"/>
    <n v="4"/>
    <n v="0.4"/>
    <n v="241.26"/>
    <n v="3"/>
    <n v="0.06"/>
  </r>
  <r>
    <x v="24"/>
    <x v="4"/>
    <x v="9"/>
    <n v="34"/>
    <n v="12"/>
    <n v="356.4"/>
    <n v="8"/>
    <n v="0.67"/>
    <n v="4111.76"/>
    <n v="2"/>
    <n v="0.08"/>
  </r>
  <r>
    <x v="25"/>
    <x v="4"/>
    <x v="10"/>
    <n v="67"/>
    <n v="12"/>
    <n v="352.6"/>
    <n v="6"/>
    <n v="0.5"/>
    <n v="4402.41"/>
    <n v="1"/>
    <n v="0.03"/>
  </r>
  <r>
    <x v="0"/>
    <x v="4"/>
    <x v="10"/>
    <n v="76"/>
    <n v="14"/>
    <n v="351.42"/>
    <n v="4"/>
    <n v="0.28999999999999998"/>
    <n v="3917.99"/>
    <n v="3"/>
    <n v="0.04"/>
  </r>
  <r>
    <x v="1"/>
    <x v="4"/>
    <x v="10"/>
    <n v="53"/>
    <n v="17"/>
    <n v="404.22"/>
    <n v="2"/>
    <n v="0.12"/>
    <n v="3669.4"/>
    <n v="2"/>
    <n v="0.04"/>
  </r>
  <r>
    <x v="2"/>
    <x v="4"/>
    <x v="10"/>
    <n v="22"/>
    <n v="6"/>
    <n v="80.02"/>
    <n v="3"/>
    <n v="0.5"/>
    <n v="1476.69"/>
    <n v="1"/>
    <n v="0.03"/>
  </r>
  <r>
    <x v="3"/>
    <x v="4"/>
    <x v="10"/>
    <n v="77"/>
    <n v="16"/>
    <n v="502.41"/>
    <n v="5"/>
    <n v="0.31"/>
    <n v="1093.75"/>
    <n v="3"/>
    <n v="0.04"/>
  </r>
  <r>
    <x v="4"/>
    <x v="4"/>
    <x v="10"/>
    <n v="52"/>
    <n v="6"/>
    <n v="492.23"/>
    <n v="2"/>
    <n v="0.33"/>
    <n v="3775.84"/>
    <n v="2"/>
    <n v="0.01"/>
  </r>
  <r>
    <x v="5"/>
    <x v="4"/>
    <x v="10"/>
    <n v="74"/>
    <n v="17"/>
    <n v="284.91000000000003"/>
    <n v="3"/>
    <n v="0.18"/>
    <n v="2481.64"/>
    <n v="1"/>
    <n v="0.09"/>
  </r>
  <r>
    <x v="6"/>
    <x v="4"/>
    <x v="10"/>
    <n v="50"/>
    <n v="9"/>
    <n v="237.95"/>
    <n v="5"/>
    <n v="0.56000000000000005"/>
    <n v="3982.36"/>
    <n v="3"/>
    <n v="0.04"/>
  </r>
  <r>
    <x v="7"/>
    <x v="4"/>
    <x v="10"/>
    <n v="30"/>
    <n v="21"/>
    <n v="372.34"/>
    <n v="7"/>
    <n v="0.33"/>
    <n v="1172.04"/>
    <n v="2"/>
    <n v="0.05"/>
  </r>
  <r>
    <x v="8"/>
    <x v="4"/>
    <x v="10"/>
    <n v="74"/>
    <n v="13"/>
    <n v="324.77999999999997"/>
    <n v="7"/>
    <n v="0.54"/>
    <n v="995.6"/>
    <n v="1"/>
    <n v="0.03"/>
  </r>
  <r>
    <x v="9"/>
    <x v="4"/>
    <x v="10"/>
    <n v="23"/>
    <n v="7"/>
    <n v="190.12"/>
    <n v="4"/>
    <n v="0.56999999999999995"/>
    <n v="788.65"/>
    <n v="3"/>
    <n v="7.0000000000000007E-2"/>
  </r>
  <r>
    <x v="10"/>
    <x v="4"/>
    <x v="10"/>
    <n v="32"/>
    <n v="7"/>
    <n v="563.41999999999996"/>
    <n v="6"/>
    <n v="0.86"/>
    <n v="3543.71"/>
    <n v="2"/>
    <n v="0.04"/>
  </r>
  <r>
    <x v="11"/>
    <x v="4"/>
    <x v="10"/>
    <n v="59"/>
    <n v="21"/>
    <n v="633.37"/>
    <n v="2"/>
    <n v="0.1"/>
    <n v="358.29"/>
    <n v="1"/>
    <n v="0.03"/>
  </r>
  <r>
    <x v="12"/>
    <x v="4"/>
    <x v="10"/>
    <n v="30"/>
    <n v="6"/>
    <n v="209.84"/>
    <n v="1"/>
    <n v="0.17"/>
    <n v="3534.1"/>
    <n v="3"/>
    <n v="0.04"/>
  </r>
  <r>
    <x v="13"/>
    <x v="4"/>
    <x v="10"/>
    <n v="65"/>
    <n v="9"/>
    <n v="220.46"/>
    <n v="3"/>
    <n v="0.33"/>
    <n v="707.75"/>
    <n v="2"/>
    <n v="0.03"/>
  </r>
  <r>
    <x v="14"/>
    <x v="4"/>
    <x v="10"/>
    <n v="100"/>
    <n v="6"/>
    <n v="153.34"/>
    <n v="3"/>
    <n v="0.5"/>
    <n v="1248.54"/>
    <n v="1"/>
    <n v="0.08"/>
  </r>
  <r>
    <x v="15"/>
    <x v="4"/>
    <x v="10"/>
    <n v="81"/>
    <n v="7"/>
    <n v="79.62"/>
    <n v="7"/>
    <n v="1"/>
    <n v="3892.76"/>
    <n v="3"/>
    <n v="0.1"/>
  </r>
  <r>
    <x v="16"/>
    <x v="4"/>
    <x v="10"/>
    <n v="26"/>
    <n v="17"/>
    <n v="504.54"/>
    <n v="8"/>
    <n v="0.47"/>
    <n v="3359.77"/>
    <n v="2"/>
    <n v="0.03"/>
  </r>
  <r>
    <x v="17"/>
    <x v="4"/>
    <x v="10"/>
    <n v="96"/>
    <n v="16"/>
    <n v="161.69"/>
    <n v="5"/>
    <n v="0.31"/>
    <n v="392.05"/>
    <n v="1"/>
    <n v="0.1"/>
  </r>
  <r>
    <x v="18"/>
    <x v="4"/>
    <x v="10"/>
    <n v="72"/>
    <n v="12"/>
    <n v="474.28"/>
    <n v="1"/>
    <n v="0.08"/>
    <n v="1097.5999999999999"/>
    <n v="3"/>
    <n v="0"/>
  </r>
  <r>
    <x v="19"/>
    <x v="4"/>
    <x v="10"/>
    <n v="18"/>
    <n v="15"/>
    <n v="268.94"/>
    <n v="1"/>
    <n v="7.0000000000000007E-2"/>
    <n v="1469.71"/>
    <n v="2"/>
    <n v="0.05"/>
  </r>
  <r>
    <x v="20"/>
    <x v="4"/>
    <x v="10"/>
    <n v="87"/>
    <n v="5"/>
    <n v="601.28"/>
    <n v="2"/>
    <n v="0.4"/>
    <n v="3491.19"/>
    <n v="1"/>
    <n v="0.03"/>
  </r>
  <r>
    <x v="21"/>
    <x v="4"/>
    <x v="10"/>
    <n v="73"/>
    <n v="8"/>
    <n v="182.48"/>
    <n v="8"/>
    <n v="1"/>
    <n v="548.46"/>
    <n v="1"/>
    <n v="0.09"/>
  </r>
  <r>
    <x v="22"/>
    <x v="4"/>
    <x v="10"/>
    <n v="97"/>
    <n v="14"/>
    <n v="368.16"/>
    <n v="0"/>
    <n v="0"/>
    <n v="3020.19"/>
    <n v="3"/>
    <n v="0.03"/>
  </r>
  <r>
    <x v="23"/>
    <x v="4"/>
    <x v="10"/>
    <n v="28"/>
    <n v="12"/>
    <n v="565.51"/>
    <n v="4"/>
    <n v="0.33"/>
    <n v="231.16"/>
    <n v="2"/>
    <n v="0.06"/>
  </r>
  <r>
    <x v="24"/>
    <x v="4"/>
    <x v="10"/>
    <n v="41"/>
    <n v="13"/>
    <n v="370.44"/>
    <n v="9"/>
    <n v="0.69"/>
    <n v="4484.96"/>
    <n v="1"/>
    <n v="0.09"/>
  </r>
  <r>
    <x v="25"/>
    <x v="4"/>
    <x v="11"/>
    <n v="61"/>
    <n v="13"/>
    <n v="356.61"/>
    <n v="7"/>
    <n v="0.54"/>
    <n v="4099.6400000000003"/>
    <n v="3"/>
    <n v="0.03"/>
  </r>
  <r>
    <x v="0"/>
    <x v="4"/>
    <x v="11"/>
    <n v="80"/>
    <n v="13"/>
    <n v="369.46"/>
    <n v="4"/>
    <n v="0.31"/>
    <n v="3996.04"/>
    <n v="2"/>
    <n v="0.04"/>
  </r>
  <r>
    <x v="1"/>
    <x v="4"/>
    <x v="11"/>
    <n v="51"/>
    <n v="14"/>
    <n v="419.93"/>
    <n v="2"/>
    <n v="0.14000000000000001"/>
    <n v="3543.6"/>
    <n v="1"/>
    <n v="0.05"/>
  </r>
  <r>
    <x v="2"/>
    <x v="4"/>
    <x v="11"/>
    <n v="20"/>
    <n v="5"/>
    <n v="71.41"/>
    <n v="3"/>
    <n v="0.6"/>
    <n v="1527.27"/>
    <n v="3"/>
    <n v="0.03"/>
  </r>
  <r>
    <x v="3"/>
    <x v="4"/>
    <x v="11"/>
    <n v="101"/>
    <n v="14"/>
    <n v="503.93"/>
    <n v="5"/>
    <n v="0.36"/>
    <n v="1116.6099999999999"/>
    <n v="2"/>
    <n v="0.04"/>
  </r>
  <r>
    <x v="4"/>
    <x v="4"/>
    <x v="11"/>
    <n v="70"/>
    <n v="6"/>
    <n v="488.97"/>
    <n v="3"/>
    <n v="0.5"/>
    <n v="3767.09"/>
    <n v="1"/>
    <n v="0.01"/>
  </r>
  <r>
    <x v="5"/>
    <x v="4"/>
    <x v="11"/>
    <n v="84"/>
    <n v="19"/>
    <n v="301.2"/>
    <n v="2"/>
    <n v="0.11"/>
    <n v="2608.4699999999998"/>
    <n v="3"/>
    <n v="0.1"/>
  </r>
  <r>
    <x v="6"/>
    <x v="4"/>
    <x v="11"/>
    <n v="50"/>
    <n v="6"/>
    <n v="219.19"/>
    <n v="4"/>
    <n v="0.67"/>
    <n v="3836.95"/>
    <n v="2"/>
    <n v="0.04"/>
  </r>
  <r>
    <x v="7"/>
    <x v="4"/>
    <x v="11"/>
    <n v="28"/>
    <n v="19"/>
    <n v="352.06"/>
    <n v="9"/>
    <n v="0.47"/>
    <n v="1107.51"/>
    <n v="3"/>
    <n v="0.06"/>
  </r>
  <r>
    <x v="8"/>
    <x v="4"/>
    <x v="11"/>
    <n v="69"/>
    <n v="16"/>
    <n v="337.7"/>
    <n v="9"/>
    <n v="0.56000000000000005"/>
    <n v="947.47"/>
    <n v="2"/>
    <n v="0.04"/>
  </r>
  <r>
    <x v="9"/>
    <x v="4"/>
    <x v="11"/>
    <n v="18"/>
    <n v="6"/>
    <n v="212.39"/>
    <n v="3"/>
    <n v="0.5"/>
    <n v="730.81"/>
    <n v="1"/>
    <n v="0.09"/>
  </r>
  <r>
    <x v="10"/>
    <x v="4"/>
    <x v="11"/>
    <n v="40"/>
    <n v="7"/>
    <n v="486.93"/>
    <n v="7"/>
    <n v="1"/>
    <n v="3643.63"/>
    <n v="3"/>
    <n v="0.04"/>
  </r>
  <r>
    <x v="11"/>
    <x v="4"/>
    <x v="11"/>
    <n v="77"/>
    <n v="16"/>
    <n v="539.26"/>
    <n v="3"/>
    <n v="0.19"/>
    <n v="379.83"/>
    <n v="2"/>
    <n v="0.04"/>
  </r>
  <r>
    <x v="12"/>
    <x v="4"/>
    <x v="11"/>
    <n v="31"/>
    <n v="6"/>
    <n v="191.66"/>
    <n v="2"/>
    <n v="0.33"/>
    <n v="3753.06"/>
    <n v="1"/>
    <n v="0.04"/>
  </r>
  <r>
    <x v="13"/>
    <x v="4"/>
    <x v="11"/>
    <n v="57"/>
    <n v="7"/>
    <n v="190.08"/>
    <n v="2"/>
    <n v="0.28999999999999998"/>
    <n v="649.97"/>
    <n v="3"/>
    <n v="0.03"/>
  </r>
  <r>
    <x v="14"/>
    <x v="4"/>
    <x v="11"/>
    <n v="88"/>
    <n v="5"/>
    <n v="168.89"/>
    <n v="3"/>
    <n v="0.6"/>
    <n v="1153.93"/>
    <n v="2"/>
    <n v="0.08"/>
  </r>
  <r>
    <x v="15"/>
    <x v="4"/>
    <x v="11"/>
    <n v="74"/>
    <n v="6"/>
    <n v="87.83"/>
    <n v="6"/>
    <n v="1"/>
    <n v="3741.27"/>
    <n v="1"/>
    <n v="0.1"/>
  </r>
  <r>
    <x v="16"/>
    <x v="4"/>
    <x v="11"/>
    <n v="26"/>
    <n v="13"/>
    <n v="543.15"/>
    <n v="6"/>
    <n v="0.46"/>
    <n v="3793.56"/>
    <n v="3"/>
    <n v="0.04"/>
  </r>
  <r>
    <x v="17"/>
    <x v="4"/>
    <x v="11"/>
    <n v="99"/>
    <n v="15"/>
    <n v="181.12"/>
    <n v="5"/>
    <n v="0.33"/>
    <n v="454.09"/>
    <n v="2"/>
    <n v="0.09"/>
  </r>
  <r>
    <x v="18"/>
    <x v="4"/>
    <x v="11"/>
    <n v="74"/>
    <n v="14"/>
    <n v="508.85"/>
    <n v="1"/>
    <n v="7.0000000000000007E-2"/>
    <n v="1182.6300000000001"/>
    <n v="1"/>
    <n v="0"/>
  </r>
  <r>
    <x v="19"/>
    <x v="4"/>
    <x v="11"/>
    <n v="21"/>
    <n v="17"/>
    <n v="297.83999999999997"/>
    <n v="1"/>
    <n v="0.06"/>
    <n v="1553.7"/>
    <n v="1"/>
    <n v="0.05"/>
  </r>
  <r>
    <x v="20"/>
    <x v="4"/>
    <x v="11"/>
    <n v="94"/>
    <n v="6"/>
    <n v="537.26"/>
    <n v="1"/>
    <n v="0.17"/>
    <n v="3665.55"/>
    <n v="3"/>
    <n v="0.03"/>
  </r>
  <r>
    <x v="21"/>
    <x v="4"/>
    <x v="11"/>
    <n v="83"/>
    <n v="9"/>
    <n v="188.49"/>
    <n v="7"/>
    <n v="0.78"/>
    <n v="545.09"/>
    <n v="2"/>
    <n v="0.09"/>
  </r>
  <r>
    <x v="22"/>
    <x v="4"/>
    <x v="11"/>
    <n v="84"/>
    <n v="14"/>
    <n v="370.36"/>
    <n v="0"/>
    <n v="0"/>
    <n v="2605.02"/>
    <n v="1"/>
    <n v="0.03"/>
  </r>
  <r>
    <x v="23"/>
    <x v="4"/>
    <x v="11"/>
    <n v="32"/>
    <n v="10"/>
    <n v="500.83"/>
    <n v="4"/>
    <n v="0.4"/>
    <n v="239.13"/>
    <n v="3"/>
    <n v="0.06"/>
  </r>
  <r>
    <x v="24"/>
    <x v="4"/>
    <x v="11"/>
    <n v="39"/>
    <n v="15"/>
    <n v="319.08999999999997"/>
    <n v="7"/>
    <n v="0.47"/>
    <n v="4573.5"/>
    <n v="2"/>
    <n v="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50AB0C-E962-4B57-8B36-E5BF44D2420B}"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
  <location ref="C9:G36" firstHeaderRow="0" firstDataRow="1" firstDataCol="1"/>
  <pivotFields count="13">
    <pivotField axis="axisRow" showAll="0">
      <items count="27">
        <item x="14"/>
        <item x="0"/>
        <item x="4"/>
        <item x="6"/>
        <item x="8"/>
        <item x="22"/>
        <item x="16"/>
        <item x="23"/>
        <item x="1"/>
        <item x="20"/>
        <item x="25"/>
        <item x="19"/>
        <item x="12"/>
        <item x="2"/>
        <item x="9"/>
        <item x="21"/>
        <item x="15"/>
        <item x="3"/>
        <item x="13"/>
        <item x="24"/>
        <item x="7"/>
        <item x="11"/>
        <item x="10"/>
        <item x="5"/>
        <item x="18"/>
        <item x="17"/>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conditionalFormats count="4">
    <conditionalFormat priority="4">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 priority="3">
      <pivotAreas count="1">
        <pivotArea type="data" collapsedLevelsAreSubtotals="1" fieldPosition="0">
          <references count="2">
            <reference field="4294967294" count="3" selected="0">
              <x v="1"/>
              <x v="2"/>
              <x v="3"/>
            </reference>
            <reference field="0" count="26">
              <x v="0"/>
              <x v="1"/>
              <x v="2"/>
              <x v="3"/>
              <x v="4"/>
              <x v="5"/>
              <x v="6"/>
              <x v="7"/>
              <x v="8"/>
              <x v="9"/>
              <x v="10"/>
              <x v="11"/>
              <x v="12"/>
              <x v="13"/>
              <x v="14"/>
              <x v="15"/>
              <x v="16"/>
              <x v="17"/>
              <x v="18"/>
              <x v="19"/>
              <x v="20"/>
              <x v="21"/>
              <x v="22"/>
              <x v="23"/>
              <x v="24"/>
              <x v="25"/>
            </reference>
          </references>
        </pivotArea>
      </pivotAreas>
    </conditionalFormat>
    <conditionalFormat priority="2">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1">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Medium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A08FD-453D-4053-864F-DE3F44985A1A}" name="PivotTable3"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B34" firstHeaderRow="1" firstDataRow="1" firstDataCol="1"/>
  <pivotFields count="13">
    <pivotField showAll="0">
      <items count="27">
        <item x="14"/>
        <item x="0"/>
        <item x="4"/>
        <item x="6"/>
        <item x="8"/>
        <item x="22"/>
        <item x="16"/>
        <item x="23"/>
        <item x="1"/>
        <item x="20"/>
        <item x="25"/>
        <item x="19"/>
        <item x="12"/>
        <item x="2"/>
        <item x="9"/>
        <item x="21"/>
        <item x="15"/>
        <item x="3"/>
        <item x="13"/>
        <item x="24"/>
        <item x="7"/>
        <item x="11"/>
        <item x="10"/>
        <item x="5"/>
        <item x="18"/>
        <item x="17"/>
        <item t="default"/>
      </items>
    </pivotField>
    <pivotField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Deal Value ($)" fld="8" baseField="0" baseItem="0"/>
  </dataFields>
  <formats count="2">
    <format dxfId="363">
      <pivotArea outline="0" collapsedLevelsAreSubtotals="1" fieldPosition="0"/>
    </format>
    <format dxfId="364">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1FEFC-966C-415B-8188-64E1EDC8EDE3}" name="PivotTable2"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pivotFields count="13">
    <pivotField showAll="0">
      <items count="27">
        <item x="14"/>
        <item x="0"/>
        <item x="4"/>
        <item x="6"/>
        <item x="8"/>
        <item x="22"/>
        <item x="16"/>
        <item x="23"/>
        <item x="1"/>
        <item x="20"/>
        <item x="25"/>
        <item x="19"/>
        <item x="12"/>
        <item x="2"/>
        <item x="9"/>
        <item x="21"/>
        <item x="15"/>
        <item x="3"/>
        <item x="13"/>
        <item x="24"/>
        <item x="7"/>
        <item x="11"/>
        <item x="10"/>
        <item x="5"/>
        <item x="18"/>
        <item x="17"/>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0" numFmtId="43"/>
  </dataFields>
  <formats count="3">
    <format dxfId="367">
      <pivotArea collapsedLevelsAreSubtotals="1" fieldPosition="0">
        <references count="1">
          <reference field="1" count="1">
            <x v="0"/>
          </reference>
        </references>
      </pivotArea>
    </format>
    <format dxfId="366">
      <pivotArea outline="0" collapsedLevelsAreSubtotals="1" fieldPosition="0"/>
    </format>
    <format dxfId="36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09C1E7-D1D4-4CC8-A78D-8D5407592100}" name="PivotTable1"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4"/>
        <item x="0"/>
        <item x="4"/>
        <item x="6"/>
        <item x="8"/>
        <item x="22"/>
        <item x="16"/>
        <item x="23"/>
        <item x="1"/>
        <item x="20"/>
        <item x="25"/>
        <item x="19"/>
        <item x="12"/>
        <item x="2"/>
        <item x="9"/>
        <item x="21"/>
        <item x="15"/>
        <item x="3"/>
        <item x="13"/>
        <item x="24"/>
        <item x="7"/>
        <item x="11"/>
        <item x="10"/>
        <item x="5"/>
        <item x="18"/>
        <item x="17"/>
        <item t="default"/>
      </items>
    </pivotField>
    <pivotField showAll="0"/>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2">
    <format dxfId="369">
      <pivotArea outline="0" collapsedLevelsAreSubtotals="1" fieldPosition="0"/>
    </format>
    <format dxfId="368">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FC88CAE-F230-4107-B180-8BEC7FBA7201}" sourceName="Name">
  <pivotTables>
    <pivotTable tabId="6" name="PivotTable4"/>
    <pivotTable tabId="5" name="PivotTable1"/>
    <pivotTable tabId="5" name="PivotTable2"/>
    <pivotTable tabId="5" name="PivotTable3"/>
  </pivotTables>
  <data>
    <tabular pivotCacheId="1482746387">
      <items count="26">
        <i x="14" s="1"/>
        <i x="0" s="1"/>
        <i x="4" s="1"/>
        <i x="6" s="1"/>
        <i x="8" s="1"/>
        <i x="22" s="1"/>
        <i x="16" s="1"/>
        <i x="23" s="1"/>
        <i x="1" s="1"/>
        <i x="20" s="1"/>
        <i x="25" s="1"/>
        <i x="19" s="1"/>
        <i x="12" s="1"/>
        <i x="2" s="1"/>
        <i x="9" s="1"/>
        <i x="21" s="1"/>
        <i x="15" s="1"/>
        <i x="3" s="1"/>
        <i x="13" s="1"/>
        <i x="24" s="1"/>
        <i x="7" s="1"/>
        <i x="11" s="1"/>
        <i x="10" s="1"/>
        <i x="5" s="1"/>
        <i x="18"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8C4A4874-53A8-42D7-8BB9-672C70FD5F9C}" cache="Slicer_Name" caption="Name" style="SlicerStyleDark5"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E98918-31BE-40EF-AFD7-B3B0DCF4D223}" name="Table1" displayName="Table1" ref="A1:K312" totalsRowShown="0">
  <autoFilter ref="A1:K312" xr:uid="{EDE98918-31BE-40EF-AFD7-B3B0DCF4D223}"/>
  <tableColumns count="11">
    <tableColumn id="1" xr3:uid="{10452542-0C57-49C7-A829-7F5077A41E4B}" name="Name"/>
    <tableColumn id="2" xr3:uid="{4CA0378A-EFAE-4783-8664-FE7716EAE655}" name="Region"/>
    <tableColumn id="3" xr3:uid="{1BC07D38-FB9B-495B-A62A-AC26A29AEB18}" name="Date" dataDxfId="372"/>
    <tableColumn id="4" xr3:uid="{8EDD99DA-8F67-4819-A4BA-FDAF4D0DA34F}" name="Total Calls"/>
    <tableColumn id="5" xr3:uid="{94DA6EA1-E43F-4E95-A11F-65451C4D2AAF}" name="Calls Reached"/>
    <tableColumn id="6" xr3:uid="{9CF81E85-E1DA-4095-944D-C1215CE86915}" name="Average Duration (sec)"/>
    <tableColumn id="7" xr3:uid="{39EC490C-44E4-4815-A017-DE149ED18F3C}" name="Deals Closed"/>
    <tableColumn id="8" xr3:uid="{1FD59086-6198-4125-99F5-7EB236AAA5C4}" name="Call Conversion Rate (%)" dataDxfId="371"/>
    <tableColumn id="9" xr3:uid="{F28E05C6-2A71-4479-8E07-6243C30FDE86}" name="Deal Value ($)"/>
    <tableColumn id="10" xr3:uid="{2A3220C6-BBFA-4C42-9C62-87E5CFAF31CC}" name="Service Level"/>
    <tableColumn id="11" xr3:uid="{5B4DF787-8D8B-40C6-A81E-59D3A54AF86D}" name="Call Drop Rate (%)" dataDxfId="37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670C-396B-421E-9D19-9FBFD530216B}">
  <dimension ref="A1:AA36"/>
  <sheetViews>
    <sheetView tabSelected="1" zoomScale="85" zoomScaleNormal="85" workbookViewId="0">
      <selection activeCell="X22" sqref="X22"/>
    </sheetView>
  </sheetViews>
  <sheetFormatPr defaultRowHeight="15" x14ac:dyDescent="0.25"/>
  <cols>
    <col min="1" max="1" width="30.140625" style="11" customWidth="1"/>
    <col min="2" max="2" width="9.42578125" style="11" customWidth="1"/>
    <col min="3" max="3" width="11.28515625" style="11" bestFit="1" customWidth="1"/>
    <col min="4" max="4" width="10.85546875" style="11" bestFit="1" customWidth="1"/>
    <col min="5" max="5" width="14.42578125" style="11" bestFit="1" customWidth="1"/>
    <col min="6" max="6" width="13.5703125" style="11" bestFit="1" customWidth="1"/>
    <col min="7" max="7" width="14" style="11" bestFit="1" customWidth="1"/>
    <col min="8" max="8" width="14.85546875" style="11" customWidth="1"/>
    <col min="9" max="9" width="15.7109375" style="11" customWidth="1"/>
    <col min="10" max="10" width="9.5703125" style="11" bestFit="1" customWidth="1"/>
    <col min="11" max="16" width="10.5703125" style="11" bestFit="1" customWidth="1"/>
    <col min="17" max="18" width="9.5703125" style="11" bestFit="1" customWidth="1"/>
    <col min="19" max="20" width="10.5703125" style="11" bestFit="1" customWidth="1"/>
    <col min="21" max="21" width="9.5703125" style="11" bestFit="1" customWidth="1"/>
    <col min="22" max="23" width="10.5703125" style="11" bestFit="1" customWidth="1"/>
    <col min="24" max="24" width="9.5703125" style="11" bestFit="1" customWidth="1"/>
    <col min="25" max="27" width="10.5703125" style="11" bestFit="1" customWidth="1"/>
    <col min="28" max="28" width="9.5703125" style="11" bestFit="1" customWidth="1"/>
    <col min="29" max="29" width="11.5703125" style="11" bestFit="1" customWidth="1"/>
    <col min="30" max="16384" width="9.140625" style="11"/>
  </cols>
  <sheetData>
    <row r="1" spans="1:27" s="10" customForma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s="10" customFormat="1" ht="51" x14ac:dyDescent="0.8">
      <c r="A2" s="13" t="s">
        <v>66</v>
      </c>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s="10" customFormat="1" ht="21" x14ac:dyDescent="0.25">
      <c r="A3" s="14" t="s">
        <v>67</v>
      </c>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s="10" customFormat="1"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s="10" customFormat="1"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s="10" customFormat="1"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s="10" customFormat="1"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s="10" customFormat="1"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x14ac:dyDescent="0.25">
      <c r="C9" s="3" t="s">
        <v>33</v>
      </c>
      <c r="D9" t="s">
        <v>46</v>
      </c>
      <c r="E9" t="s">
        <v>47</v>
      </c>
      <c r="F9" t="s">
        <v>48</v>
      </c>
      <c r="G9" t="s">
        <v>49</v>
      </c>
    </row>
    <row r="10" spans="1:27" x14ac:dyDescent="0.25">
      <c r="C10" s="4" t="s">
        <v>16</v>
      </c>
      <c r="D10" s="5">
        <v>1119</v>
      </c>
      <c r="E10" s="5">
        <v>61</v>
      </c>
      <c r="F10" s="5">
        <v>40</v>
      </c>
      <c r="G10" s="5">
        <v>14672.969999999998</v>
      </c>
    </row>
    <row r="11" spans="1:27" x14ac:dyDescent="0.25">
      <c r="C11" s="4" t="s">
        <v>2</v>
      </c>
      <c r="D11" s="5">
        <v>907</v>
      </c>
      <c r="E11" s="5">
        <v>141</v>
      </c>
      <c r="F11" s="5">
        <v>53</v>
      </c>
      <c r="G11" s="5">
        <v>45196.26</v>
      </c>
    </row>
    <row r="12" spans="1:27" x14ac:dyDescent="0.25">
      <c r="C12" s="4" t="s">
        <v>6</v>
      </c>
      <c r="D12" s="5">
        <v>731</v>
      </c>
      <c r="E12" s="5">
        <v>79</v>
      </c>
      <c r="F12" s="5">
        <v>31</v>
      </c>
      <c r="G12" s="5">
        <v>43859.520000000004</v>
      </c>
    </row>
    <row r="13" spans="1:27" x14ac:dyDescent="0.25">
      <c r="C13" s="4" t="s">
        <v>8</v>
      </c>
      <c r="D13" s="5">
        <v>660</v>
      </c>
      <c r="E13" s="5">
        <v>92</v>
      </c>
      <c r="F13" s="5">
        <v>71</v>
      </c>
      <c r="G13" s="5">
        <v>49072.98</v>
      </c>
    </row>
    <row r="14" spans="1:27" x14ac:dyDescent="0.25">
      <c r="C14" s="4" t="s">
        <v>10</v>
      </c>
      <c r="D14" s="5">
        <v>806</v>
      </c>
      <c r="E14" s="5">
        <v>184</v>
      </c>
      <c r="F14" s="5">
        <v>100</v>
      </c>
      <c r="G14" s="5">
        <v>12040.489999999998</v>
      </c>
    </row>
    <row r="15" spans="1:27" x14ac:dyDescent="0.25">
      <c r="C15" s="4" t="s">
        <v>24</v>
      </c>
      <c r="D15" s="5">
        <v>1180</v>
      </c>
      <c r="E15" s="5">
        <v>173</v>
      </c>
      <c r="F15" s="5">
        <v>4</v>
      </c>
      <c r="G15" s="5">
        <v>34781.939999999995</v>
      </c>
    </row>
    <row r="16" spans="1:27" x14ac:dyDescent="0.25">
      <c r="C16" s="4" t="s">
        <v>18</v>
      </c>
      <c r="D16" s="5">
        <v>288</v>
      </c>
      <c r="E16" s="5">
        <v>180</v>
      </c>
      <c r="F16" s="5">
        <v>81</v>
      </c>
      <c r="G16" s="5">
        <v>44979.729999999996</v>
      </c>
    </row>
    <row r="17" spans="3:7" x14ac:dyDescent="0.25">
      <c r="C17" s="4" t="s">
        <v>26</v>
      </c>
      <c r="D17" s="5">
        <v>407</v>
      </c>
      <c r="E17" s="5">
        <v>130</v>
      </c>
      <c r="F17" s="5">
        <v>52</v>
      </c>
      <c r="G17" s="5">
        <v>2829.58</v>
      </c>
    </row>
    <row r="18" spans="3:7" x14ac:dyDescent="0.25">
      <c r="C18" s="4" t="s">
        <v>3</v>
      </c>
      <c r="D18" s="5">
        <v>617</v>
      </c>
      <c r="E18" s="5">
        <v>177</v>
      </c>
      <c r="F18" s="5">
        <v>28</v>
      </c>
      <c r="G18" s="5">
        <v>42137.53</v>
      </c>
    </row>
    <row r="19" spans="3:7" x14ac:dyDescent="0.25">
      <c r="C19" s="4" t="s">
        <v>22</v>
      </c>
      <c r="D19" s="5">
        <v>1151</v>
      </c>
      <c r="E19" s="5">
        <v>69</v>
      </c>
      <c r="F19" s="5">
        <v>18</v>
      </c>
      <c r="G19" s="5">
        <v>41544.150000000009</v>
      </c>
    </row>
    <row r="20" spans="3:7" x14ac:dyDescent="0.25">
      <c r="C20" s="4" t="s">
        <v>0</v>
      </c>
      <c r="D20" s="5">
        <v>709</v>
      </c>
      <c r="E20" s="5">
        <v>169</v>
      </c>
      <c r="F20" s="5">
        <v>70</v>
      </c>
      <c r="G20" s="5">
        <v>44764.69</v>
      </c>
    </row>
    <row r="21" spans="3:7" x14ac:dyDescent="0.25">
      <c r="C21" s="4" t="s">
        <v>21</v>
      </c>
      <c r="D21" s="5">
        <v>246</v>
      </c>
      <c r="E21" s="5">
        <v>172</v>
      </c>
      <c r="F21" s="5">
        <v>17</v>
      </c>
      <c r="G21" s="5">
        <v>18659.18</v>
      </c>
    </row>
    <row r="22" spans="3:7" x14ac:dyDescent="0.25">
      <c r="C22" s="4" t="s">
        <v>14</v>
      </c>
      <c r="D22" s="5">
        <v>379</v>
      </c>
      <c r="E22" s="5">
        <v>87</v>
      </c>
      <c r="F22" s="5">
        <v>18</v>
      </c>
      <c r="G22" s="5">
        <v>45591.429999999993</v>
      </c>
    </row>
    <row r="23" spans="3:7" x14ac:dyDescent="0.25">
      <c r="C23" s="4" t="s">
        <v>4</v>
      </c>
      <c r="D23" s="5">
        <v>241</v>
      </c>
      <c r="E23" s="5">
        <v>80</v>
      </c>
      <c r="F23" s="5">
        <v>40</v>
      </c>
      <c r="G23" s="5">
        <v>18368.47</v>
      </c>
    </row>
    <row r="24" spans="3:7" x14ac:dyDescent="0.25">
      <c r="C24" s="4" t="s">
        <v>11</v>
      </c>
      <c r="D24" s="5">
        <v>226</v>
      </c>
      <c r="E24" s="5">
        <v>91</v>
      </c>
      <c r="F24" s="5">
        <v>73</v>
      </c>
      <c r="G24" s="5">
        <v>9402.9399999999987</v>
      </c>
    </row>
    <row r="25" spans="3:7" x14ac:dyDescent="0.25">
      <c r="C25" s="4" t="s">
        <v>23</v>
      </c>
      <c r="D25" s="5">
        <v>848</v>
      </c>
      <c r="E25" s="5">
        <v>99</v>
      </c>
      <c r="F25" s="5">
        <v>84</v>
      </c>
      <c r="G25" s="5">
        <v>6133.4100000000008</v>
      </c>
    </row>
    <row r="26" spans="3:7" x14ac:dyDescent="0.25">
      <c r="C26" s="4" t="s">
        <v>17</v>
      </c>
      <c r="D26" s="5">
        <v>1023</v>
      </c>
      <c r="E26" s="5">
        <v>76</v>
      </c>
      <c r="F26" s="5">
        <v>64</v>
      </c>
      <c r="G26" s="5">
        <v>45365.2</v>
      </c>
    </row>
    <row r="27" spans="3:7" x14ac:dyDescent="0.25">
      <c r="C27" s="4" t="s">
        <v>5</v>
      </c>
      <c r="D27" s="5">
        <v>977</v>
      </c>
      <c r="E27" s="5">
        <v>166</v>
      </c>
      <c r="F27" s="5">
        <v>55</v>
      </c>
      <c r="G27" s="5">
        <v>12143.710000000001</v>
      </c>
    </row>
    <row r="28" spans="3:7" x14ac:dyDescent="0.25">
      <c r="C28" s="4" t="s">
        <v>15</v>
      </c>
      <c r="D28" s="5">
        <v>747</v>
      </c>
      <c r="E28" s="5">
        <v>97</v>
      </c>
      <c r="F28" s="5">
        <v>31</v>
      </c>
      <c r="G28" s="5">
        <v>7844.18</v>
      </c>
    </row>
    <row r="29" spans="3:7" x14ac:dyDescent="0.25">
      <c r="C29" s="4" t="s">
        <v>27</v>
      </c>
      <c r="D29" s="5">
        <v>453</v>
      </c>
      <c r="E29" s="5">
        <v>184</v>
      </c>
      <c r="F29" s="5">
        <v>92</v>
      </c>
      <c r="G29" s="5">
        <v>50524.4</v>
      </c>
    </row>
    <row r="30" spans="3:7" x14ac:dyDescent="0.25">
      <c r="C30" s="4" t="s">
        <v>9</v>
      </c>
      <c r="D30" s="5">
        <v>367</v>
      </c>
      <c r="E30" s="5">
        <v>217</v>
      </c>
      <c r="F30" s="5">
        <v>103</v>
      </c>
      <c r="G30" s="5">
        <v>14209.390000000001</v>
      </c>
    </row>
    <row r="31" spans="3:7" x14ac:dyDescent="0.25">
      <c r="C31" s="4" t="s">
        <v>13</v>
      </c>
      <c r="D31" s="5">
        <v>882</v>
      </c>
      <c r="E31" s="5">
        <v>225</v>
      </c>
      <c r="F31" s="5">
        <v>30</v>
      </c>
      <c r="G31" s="5">
        <v>4278.2</v>
      </c>
    </row>
    <row r="32" spans="3:7" x14ac:dyDescent="0.25">
      <c r="C32" s="4" t="s">
        <v>12</v>
      </c>
      <c r="D32" s="5">
        <v>420</v>
      </c>
      <c r="E32" s="5">
        <v>74</v>
      </c>
      <c r="F32" s="5">
        <v>59</v>
      </c>
      <c r="G32" s="5">
        <v>44146.13</v>
      </c>
    </row>
    <row r="33" spans="3:7" x14ac:dyDescent="0.25">
      <c r="C33" s="4" t="s">
        <v>7</v>
      </c>
      <c r="D33" s="5">
        <v>924</v>
      </c>
      <c r="E33" s="5">
        <v>218</v>
      </c>
      <c r="F33" s="5">
        <v>30</v>
      </c>
      <c r="G33" s="5">
        <v>29842.950000000004</v>
      </c>
    </row>
    <row r="34" spans="3:7" x14ac:dyDescent="0.25">
      <c r="C34" s="4" t="s">
        <v>20</v>
      </c>
      <c r="D34" s="5">
        <v>831</v>
      </c>
      <c r="E34" s="5">
        <v>154</v>
      </c>
      <c r="F34" s="5">
        <v>4</v>
      </c>
      <c r="G34" s="5">
        <v>14526.439999999999</v>
      </c>
    </row>
    <row r="35" spans="3:7" x14ac:dyDescent="0.25">
      <c r="C35" s="4" t="s">
        <v>19</v>
      </c>
      <c r="D35" s="5">
        <v>1087</v>
      </c>
      <c r="E35" s="5">
        <v>212</v>
      </c>
      <c r="F35" s="5">
        <v>54</v>
      </c>
      <c r="G35" s="5">
        <v>5002.7100000000009</v>
      </c>
    </row>
    <row r="36" spans="3:7" x14ac:dyDescent="0.25">
      <c r="C36" s="4" t="s">
        <v>32</v>
      </c>
      <c r="D36" s="5">
        <v>18226</v>
      </c>
      <c r="E36" s="5">
        <v>3607</v>
      </c>
      <c r="F36" s="5">
        <v>1302</v>
      </c>
      <c r="G36" s="5">
        <v>701918.58</v>
      </c>
    </row>
  </sheetData>
  <conditionalFormatting pivot="1" sqref="D10:D35">
    <cfRule type="dataBar" priority="4">
      <dataBar>
        <cfvo type="min"/>
        <cfvo type="max"/>
        <color rgb="FF008AEF"/>
      </dataBar>
      <extLst>
        <ext xmlns:x14="http://schemas.microsoft.com/office/spreadsheetml/2009/9/main" uri="{B025F937-C7B1-47D3-B67F-A62EFF666E3E}">
          <x14:id>{05E14AB4-EBD4-427D-9E37-BE05A08DF95E}</x14:id>
        </ext>
      </extLst>
    </cfRule>
  </conditionalFormatting>
  <conditionalFormatting pivot="1" sqref="E10:G35">
    <cfRule type="dataBar" priority="3">
      <dataBar>
        <cfvo type="min"/>
        <cfvo type="max"/>
        <color rgb="FFFF555A"/>
      </dataBar>
      <extLst>
        <ext xmlns:x14="http://schemas.microsoft.com/office/spreadsheetml/2009/9/main" uri="{B025F937-C7B1-47D3-B67F-A62EFF666E3E}">
          <x14:id>{300631EA-A1CC-40E2-9385-FA2FBDD744C8}</x14:id>
        </ext>
      </extLst>
    </cfRule>
  </conditionalFormatting>
  <conditionalFormatting pivot="1" sqref="F10:F35">
    <cfRule type="dataBar" priority="2">
      <dataBar>
        <cfvo type="min"/>
        <cfvo type="max"/>
        <color rgb="FF63C384"/>
      </dataBar>
      <extLst>
        <ext xmlns:x14="http://schemas.microsoft.com/office/spreadsheetml/2009/9/main" uri="{B025F937-C7B1-47D3-B67F-A62EFF666E3E}">
          <x14:id>{709AB675-CBC8-4921-AF2C-E8BB6272FE5F}</x14:id>
        </ext>
      </extLst>
    </cfRule>
  </conditionalFormatting>
  <conditionalFormatting pivot="1" sqref="E10:E35">
    <cfRule type="dataBar" priority="1">
      <dataBar>
        <cfvo type="min"/>
        <cfvo type="max"/>
        <color rgb="FFFFB628"/>
      </dataBar>
      <extLst>
        <ext xmlns:x14="http://schemas.microsoft.com/office/spreadsheetml/2009/9/main" uri="{B025F937-C7B1-47D3-B67F-A62EFF666E3E}">
          <x14:id>{76FA2625-CDFB-4808-9A73-2CF9187EE4A1}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E14AB4-EBD4-427D-9E37-BE05A08DF95E}">
            <x14:dataBar minLength="0" maxLength="100" border="1" negativeBarBorderColorSameAsPositive="0">
              <x14:cfvo type="autoMin"/>
              <x14:cfvo type="autoMax"/>
              <x14:borderColor rgb="FF008AEF"/>
              <x14:negativeFillColor rgb="FFFF0000"/>
              <x14:negativeBorderColor rgb="FFFF0000"/>
              <x14:axisColor rgb="FF000000"/>
            </x14:dataBar>
          </x14:cfRule>
          <xm:sqref>D10:D35</xm:sqref>
        </x14:conditionalFormatting>
        <x14:conditionalFormatting xmlns:xm="http://schemas.microsoft.com/office/excel/2006/main" pivot="1">
          <x14:cfRule type="dataBar" id="{300631EA-A1CC-40E2-9385-FA2FBDD744C8}">
            <x14:dataBar minLength="0" maxLength="100" border="1" negativeBarBorderColorSameAsPositive="0">
              <x14:cfvo type="autoMin"/>
              <x14:cfvo type="autoMax"/>
              <x14:borderColor rgb="FFFF555A"/>
              <x14:negativeFillColor rgb="FFFF0000"/>
              <x14:negativeBorderColor rgb="FFFF0000"/>
              <x14:axisColor rgb="FF000000"/>
            </x14:dataBar>
          </x14:cfRule>
          <xm:sqref>E10:G35</xm:sqref>
        </x14:conditionalFormatting>
        <x14:conditionalFormatting xmlns:xm="http://schemas.microsoft.com/office/excel/2006/main" pivot="1">
          <x14:cfRule type="dataBar" id="{709AB675-CBC8-4921-AF2C-E8BB6272FE5F}">
            <x14:dataBar minLength="0" maxLength="100" border="1" negativeBarBorderColorSameAsPositive="0">
              <x14:cfvo type="autoMin"/>
              <x14:cfvo type="autoMax"/>
              <x14:borderColor rgb="FF63C384"/>
              <x14:negativeFillColor rgb="FFFF0000"/>
              <x14:negativeBorderColor rgb="FFFF0000"/>
              <x14:axisColor rgb="FF000000"/>
            </x14:dataBar>
          </x14:cfRule>
          <xm:sqref>F10:F35</xm:sqref>
        </x14:conditionalFormatting>
        <x14:conditionalFormatting xmlns:xm="http://schemas.microsoft.com/office/excel/2006/main" pivot="1">
          <x14:cfRule type="dataBar" id="{76FA2625-CDFB-4808-9A73-2CF9187EE4A1}">
            <x14:dataBar minLength="0" maxLength="100" border="1" negativeBarBorderColorSameAsPositive="0">
              <x14:cfvo type="autoMin"/>
              <x14:cfvo type="autoMax"/>
              <x14:borderColor rgb="FFFFB628"/>
              <x14:negativeFillColor rgb="FFFF0000"/>
              <x14:negativeBorderColor rgb="FFFF0000"/>
              <x14:axisColor rgb="FF000000"/>
            </x14:dataBar>
          </x14:cfRule>
          <xm:sqref>E10:E35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658-5131-4D81-B012-825523C6DC60}">
  <dimension ref="A2:E34"/>
  <sheetViews>
    <sheetView workbookViewId="0">
      <selection activeCell="O26" sqref="O26"/>
    </sheetView>
  </sheetViews>
  <sheetFormatPr defaultRowHeight="15" x14ac:dyDescent="0.25"/>
  <cols>
    <col min="1" max="1" width="13.42578125" bestFit="1" customWidth="1"/>
    <col min="2" max="2" width="20.42578125" bestFit="1" customWidth="1"/>
    <col min="3" max="3" width="20" bestFit="1" customWidth="1"/>
    <col min="4" max="4" width="20.42578125" bestFit="1" customWidth="1"/>
  </cols>
  <sheetData>
    <row r="2" spans="1:5" x14ac:dyDescent="0.25">
      <c r="A2" s="9" t="s">
        <v>50</v>
      </c>
    </row>
    <row r="3" spans="1:5" x14ac:dyDescent="0.25">
      <c r="A3" s="3" t="s">
        <v>45</v>
      </c>
    </row>
    <row r="4" spans="1:5" x14ac:dyDescent="0.25">
      <c r="A4" s="4" t="s">
        <v>46</v>
      </c>
      <c r="B4" s="7">
        <v>18226</v>
      </c>
    </row>
    <row r="5" spans="1:5" x14ac:dyDescent="0.25">
      <c r="A5" s="4" t="s">
        <v>47</v>
      </c>
      <c r="B5" s="7">
        <v>3607</v>
      </c>
    </row>
    <row r="6" spans="1:5" x14ac:dyDescent="0.25">
      <c r="A6" s="4" t="s">
        <v>48</v>
      </c>
      <c r="B6" s="7">
        <v>1302</v>
      </c>
    </row>
    <row r="7" spans="1:5" x14ac:dyDescent="0.25">
      <c r="A7" s="4" t="s">
        <v>49</v>
      </c>
      <c r="B7" s="8">
        <v>701918.57999999984</v>
      </c>
    </row>
    <row r="10" spans="1:5" x14ac:dyDescent="0.25">
      <c r="A10" s="9" t="s">
        <v>65</v>
      </c>
    </row>
    <row r="11" spans="1:5" x14ac:dyDescent="0.25">
      <c r="A11" s="3" t="s">
        <v>31</v>
      </c>
      <c r="B11" t="s">
        <v>51</v>
      </c>
    </row>
    <row r="12" spans="1:5" x14ac:dyDescent="0.25">
      <c r="A12" s="4" t="s">
        <v>30</v>
      </c>
      <c r="B12" s="6">
        <v>1.9830508474576272</v>
      </c>
      <c r="D12" t="str">
        <f>A12</f>
        <v>Barisal</v>
      </c>
      <c r="E12" s="6">
        <f>B12</f>
        <v>1.9830508474576272</v>
      </c>
    </row>
    <row r="13" spans="1:5" x14ac:dyDescent="0.25">
      <c r="A13" s="4" t="s">
        <v>29</v>
      </c>
      <c r="B13" s="6">
        <v>1.9767441860465116</v>
      </c>
      <c r="D13" t="str">
        <f t="shared" ref="D13:D16" si="0">A13</f>
        <v>Chittagong</v>
      </c>
      <c r="E13" s="6">
        <f t="shared" ref="E13:E16" si="1">B13</f>
        <v>1.9767441860465116</v>
      </c>
    </row>
    <row r="14" spans="1:5" x14ac:dyDescent="0.25">
      <c r="A14" s="4" t="s">
        <v>1</v>
      </c>
      <c r="B14" s="6">
        <v>1.9545454545454546</v>
      </c>
      <c r="D14" t="str">
        <f t="shared" si="0"/>
        <v>Dhaka</v>
      </c>
      <c r="E14" s="6">
        <f t="shared" si="1"/>
        <v>1.9545454545454546</v>
      </c>
    </row>
    <row r="15" spans="1:5" x14ac:dyDescent="0.25">
      <c r="A15" s="4" t="s">
        <v>25</v>
      </c>
      <c r="B15" s="6">
        <v>1.9787234042553192</v>
      </c>
      <c r="D15" t="str">
        <f t="shared" si="0"/>
        <v>Rangpur</v>
      </c>
      <c r="E15" s="6">
        <f t="shared" si="1"/>
        <v>1.9787234042553192</v>
      </c>
    </row>
    <row r="16" spans="1:5" x14ac:dyDescent="0.25">
      <c r="A16" s="4" t="s">
        <v>28</v>
      </c>
      <c r="B16" s="6">
        <v>1.9545454545454546</v>
      </c>
      <c r="D16" t="str">
        <f t="shared" si="0"/>
        <v>Sylhet</v>
      </c>
      <c r="E16" s="6">
        <f t="shared" si="1"/>
        <v>1.9545454545454546</v>
      </c>
    </row>
    <row r="17" spans="1:2" x14ac:dyDescent="0.25">
      <c r="A17" s="4" t="s">
        <v>32</v>
      </c>
      <c r="B17" s="7">
        <v>1.977491961414791</v>
      </c>
    </row>
    <row r="20" spans="1:2" x14ac:dyDescent="0.25">
      <c r="A20" s="9" t="s">
        <v>64</v>
      </c>
    </row>
    <row r="21" spans="1:2" x14ac:dyDescent="0.25">
      <c r="A21" s="3" t="s">
        <v>31</v>
      </c>
      <c r="B21" t="s">
        <v>44</v>
      </c>
    </row>
    <row r="22" spans="1:2" x14ac:dyDescent="0.25">
      <c r="A22" s="4" t="s">
        <v>52</v>
      </c>
      <c r="B22" s="6">
        <v>53586.86</v>
      </c>
    </row>
    <row r="23" spans="1:2" x14ac:dyDescent="0.25">
      <c r="A23" s="4" t="s">
        <v>53</v>
      </c>
      <c r="B23" s="6">
        <v>59230.42</v>
      </c>
    </row>
    <row r="24" spans="1:2" x14ac:dyDescent="0.25">
      <c r="A24" s="4" t="s">
        <v>54</v>
      </c>
      <c r="B24" s="6">
        <v>60127</v>
      </c>
    </row>
    <row r="25" spans="1:2" x14ac:dyDescent="0.25">
      <c r="A25" s="4" t="s">
        <v>55</v>
      </c>
      <c r="B25" s="6">
        <v>58604.41</v>
      </c>
    </row>
    <row r="26" spans="1:2" x14ac:dyDescent="0.25">
      <c r="A26" s="4" t="s">
        <v>56</v>
      </c>
      <c r="B26" s="6">
        <v>58564.01999999999</v>
      </c>
    </row>
    <row r="27" spans="1:2" x14ac:dyDescent="0.25">
      <c r="A27" s="4" t="s">
        <v>57</v>
      </c>
      <c r="B27" s="6">
        <v>58260.729999999996</v>
      </c>
    </row>
    <row r="28" spans="1:2" x14ac:dyDescent="0.25">
      <c r="A28" s="4" t="s">
        <v>58</v>
      </c>
      <c r="B28" s="6">
        <v>58845.83</v>
      </c>
    </row>
    <row r="29" spans="1:2" x14ac:dyDescent="0.25">
      <c r="A29" s="4" t="s">
        <v>59</v>
      </c>
      <c r="B29" s="6">
        <v>58668.120000000017</v>
      </c>
    </row>
    <row r="30" spans="1:2" x14ac:dyDescent="0.25">
      <c r="A30" s="4" t="s">
        <v>60</v>
      </c>
      <c r="B30" s="6">
        <v>59025.210000000006</v>
      </c>
    </row>
    <row r="31" spans="1:2" x14ac:dyDescent="0.25">
      <c r="A31" s="4" t="s">
        <v>61</v>
      </c>
      <c r="B31" s="6">
        <v>58653.95</v>
      </c>
    </row>
    <row r="32" spans="1:2" x14ac:dyDescent="0.25">
      <c r="A32" s="4" t="s">
        <v>62</v>
      </c>
      <c r="B32" s="6">
        <v>59136.610000000008</v>
      </c>
    </row>
    <row r="33" spans="1:2" x14ac:dyDescent="0.25">
      <c r="A33" s="4" t="s">
        <v>63</v>
      </c>
      <c r="B33" s="6">
        <v>59215.419999999984</v>
      </c>
    </row>
    <row r="34" spans="1:2" x14ac:dyDescent="0.25">
      <c r="A34" s="4" t="s">
        <v>32</v>
      </c>
      <c r="B34" s="7">
        <v>701918.57999999984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3982F-09F0-47BB-8A27-35A56D33154B}">
  <dimension ref="A1:K312"/>
  <sheetViews>
    <sheetView zoomScaleNormal="100" workbookViewId="0">
      <selection activeCell="S14" sqref="S14"/>
    </sheetView>
  </sheetViews>
  <sheetFormatPr defaultRowHeight="15" x14ac:dyDescent="0.25"/>
  <cols>
    <col min="3" max="3" width="10.5703125" customWidth="1"/>
    <col min="5" max="5" width="5.28515625" bestFit="1" customWidth="1"/>
    <col min="9" max="9" width="9.7109375" customWidth="1"/>
  </cols>
  <sheetData>
    <row r="1" spans="1:11" x14ac:dyDescent="0.25">
      <c r="A1" t="s">
        <v>33</v>
      </c>
      <c r="B1" t="s">
        <v>34</v>
      </c>
      <c r="C1" s="1" t="s">
        <v>35</v>
      </c>
      <c r="D1" t="s">
        <v>36</v>
      </c>
      <c r="E1" t="s">
        <v>37</v>
      </c>
      <c r="F1" t="s">
        <v>38</v>
      </c>
      <c r="G1" t="s">
        <v>39</v>
      </c>
      <c r="H1" s="2" t="s">
        <v>40</v>
      </c>
      <c r="I1" t="s">
        <v>41</v>
      </c>
      <c r="J1" t="s">
        <v>42</v>
      </c>
      <c r="K1" s="2" t="s">
        <v>43</v>
      </c>
    </row>
    <row r="2" spans="1:11" x14ac:dyDescent="0.25">
      <c r="A2" t="s">
        <v>2</v>
      </c>
      <c r="B2" t="s">
        <v>1</v>
      </c>
      <c r="C2" s="1">
        <v>45292</v>
      </c>
      <c r="D2">
        <v>78</v>
      </c>
      <c r="E2">
        <v>12</v>
      </c>
      <c r="F2">
        <v>377.5</v>
      </c>
      <c r="G2">
        <v>4</v>
      </c>
      <c r="H2" s="2">
        <v>0.33</v>
      </c>
      <c r="I2">
        <v>3880.98</v>
      </c>
      <c r="J2">
        <v>2</v>
      </c>
      <c r="K2" s="2">
        <v>0.04</v>
      </c>
    </row>
    <row r="3" spans="1:11" x14ac:dyDescent="0.25">
      <c r="A3" t="s">
        <v>3</v>
      </c>
      <c r="B3" t="s">
        <v>1</v>
      </c>
      <c r="C3" s="1">
        <v>45292</v>
      </c>
      <c r="D3">
        <v>47</v>
      </c>
      <c r="E3">
        <v>14</v>
      </c>
      <c r="F3">
        <v>418.92</v>
      </c>
      <c r="G3">
        <v>2</v>
      </c>
      <c r="H3" s="2">
        <v>0.14000000000000001</v>
      </c>
      <c r="I3">
        <v>3716</v>
      </c>
      <c r="J3">
        <v>1</v>
      </c>
      <c r="K3" s="2">
        <v>0.04</v>
      </c>
    </row>
    <row r="4" spans="1:11" x14ac:dyDescent="0.25">
      <c r="A4" t="s">
        <v>4</v>
      </c>
      <c r="B4" t="s">
        <v>1</v>
      </c>
      <c r="C4" s="1">
        <v>45292</v>
      </c>
      <c r="D4">
        <v>24</v>
      </c>
      <c r="E4">
        <v>6</v>
      </c>
      <c r="F4">
        <v>76.930000000000007</v>
      </c>
      <c r="G4">
        <v>4</v>
      </c>
      <c r="H4" s="2">
        <v>0.67</v>
      </c>
      <c r="I4">
        <v>1552.35</v>
      </c>
      <c r="J4">
        <v>3</v>
      </c>
      <c r="K4" s="2">
        <v>0.03</v>
      </c>
    </row>
    <row r="5" spans="1:11" x14ac:dyDescent="0.25">
      <c r="A5" t="s">
        <v>5</v>
      </c>
      <c r="B5" t="s">
        <v>1</v>
      </c>
      <c r="C5" s="1">
        <v>45292</v>
      </c>
      <c r="D5">
        <v>81</v>
      </c>
      <c r="E5">
        <v>16</v>
      </c>
      <c r="F5">
        <v>516.23</v>
      </c>
      <c r="G5">
        <v>5</v>
      </c>
      <c r="H5" s="2">
        <v>0.31</v>
      </c>
      <c r="I5">
        <v>1030.68</v>
      </c>
      <c r="J5">
        <v>2</v>
      </c>
      <c r="K5" s="2">
        <v>0.04</v>
      </c>
    </row>
    <row r="6" spans="1:11" x14ac:dyDescent="0.25">
      <c r="A6" t="s">
        <v>6</v>
      </c>
      <c r="B6" t="s">
        <v>1</v>
      </c>
      <c r="C6" s="1">
        <v>45292</v>
      </c>
      <c r="D6">
        <v>59</v>
      </c>
      <c r="E6">
        <v>5</v>
      </c>
      <c r="F6">
        <v>520.05999999999995</v>
      </c>
      <c r="G6">
        <v>3</v>
      </c>
      <c r="H6" s="2">
        <v>0.6</v>
      </c>
      <c r="I6">
        <v>3546.72</v>
      </c>
      <c r="J6">
        <v>1</v>
      </c>
      <c r="K6" s="2">
        <v>0.01</v>
      </c>
    </row>
    <row r="7" spans="1:11" x14ac:dyDescent="0.25">
      <c r="A7" t="s">
        <v>7</v>
      </c>
      <c r="B7" t="s">
        <v>1</v>
      </c>
      <c r="C7" s="1">
        <v>45292</v>
      </c>
      <c r="D7">
        <v>68</v>
      </c>
      <c r="E7">
        <v>19</v>
      </c>
      <c r="F7">
        <v>290.39</v>
      </c>
      <c r="G7">
        <v>3</v>
      </c>
      <c r="H7" s="2">
        <v>0.16</v>
      </c>
      <c r="I7">
        <v>2472.2399999999998</v>
      </c>
      <c r="J7">
        <v>3</v>
      </c>
      <c r="K7" s="2">
        <v>0.1</v>
      </c>
    </row>
    <row r="8" spans="1:11" x14ac:dyDescent="0.25">
      <c r="A8" t="s">
        <v>8</v>
      </c>
      <c r="B8" t="s">
        <v>1</v>
      </c>
      <c r="C8" s="1">
        <v>45292</v>
      </c>
      <c r="D8">
        <v>60</v>
      </c>
      <c r="E8">
        <v>7</v>
      </c>
      <c r="F8">
        <v>251.7</v>
      </c>
      <c r="G8">
        <v>5</v>
      </c>
      <c r="H8" s="2">
        <v>0.71</v>
      </c>
      <c r="I8">
        <v>3956.69</v>
      </c>
      <c r="J8">
        <v>2</v>
      </c>
      <c r="K8" s="2">
        <v>0.04</v>
      </c>
    </row>
    <row r="9" spans="1:11" x14ac:dyDescent="0.25">
      <c r="A9" t="s">
        <v>9</v>
      </c>
      <c r="B9" t="s">
        <v>1</v>
      </c>
      <c r="C9" s="1">
        <v>45292</v>
      </c>
      <c r="D9">
        <v>34</v>
      </c>
      <c r="E9">
        <v>21</v>
      </c>
      <c r="F9">
        <v>362.62</v>
      </c>
      <c r="G9">
        <v>9</v>
      </c>
      <c r="H9" s="2">
        <v>0.43</v>
      </c>
      <c r="I9">
        <v>1140.08</v>
      </c>
      <c r="J9">
        <v>1</v>
      </c>
      <c r="K9" s="2">
        <v>0.05</v>
      </c>
    </row>
    <row r="10" spans="1:11" x14ac:dyDescent="0.25">
      <c r="A10" t="s">
        <v>10</v>
      </c>
      <c r="B10" t="s">
        <v>1</v>
      </c>
      <c r="C10" s="1">
        <v>45292</v>
      </c>
      <c r="D10">
        <v>59</v>
      </c>
      <c r="E10">
        <v>13</v>
      </c>
      <c r="F10">
        <v>307.49</v>
      </c>
      <c r="G10">
        <v>10</v>
      </c>
      <c r="H10" s="2">
        <v>0.77</v>
      </c>
      <c r="I10">
        <v>979.09</v>
      </c>
      <c r="J10">
        <v>3</v>
      </c>
      <c r="K10" s="2">
        <v>0.03</v>
      </c>
    </row>
    <row r="11" spans="1:11" x14ac:dyDescent="0.25">
      <c r="A11" t="s">
        <v>11</v>
      </c>
      <c r="B11" t="s">
        <v>1</v>
      </c>
      <c r="C11" s="1">
        <v>45292</v>
      </c>
      <c r="D11">
        <v>18</v>
      </c>
      <c r="E11">
        <v>8</v>
      </c>
      <c r="F11">
        <v>206.81</v>
      </c>
      <c r="G11">
        <v>7</v>
      </c>
      <c r="H11" s="2">
        <v>0.88</v>
      </c>
      <c r="I11">
        <v>720.56</v>
      </c>
      <c r="J11">
        <v>2</v>
      </c>
      <c r="K11" s="2">
        <v>0.08</v>
      </c>
    </row>
    <row r="12" spans="1:11" x14ac:dyDescent="0.25">
      <c r="A12" t="s">
        <v>12</v>
      </c>
      <c r="B12" t="s">
        <v>1</v>
      </c>
      <c r="C12" s="1">
        <v>45292</v>
      </c>
      <c r="D12">
        <v>36</v>
      </c>
      <c r="E12">
        <v>6</v>
      </c>
      <c r="F12">
        <v>547.6</v>
      </c>
      <c r="G12">
        <v>5</v>
      </c>
      <c r="H12" s="2">
        <v>0.83</v>
      </c>
      <c r="I12">
        <v>3463.18</v>
      </c>
      <c r="J12">
        <v>1</v>
      </c>
      <c r="K12" s="2">
        <v>0.04</v>
      </c>
    </row>
    <row r="13" spans="1:11" x14ac:dyDescent="0.25">
      <c r="A13" t="s">
        <v>13</v>
      </c>
      <c r="B13" t="s">
        <v>1</v>
      </c>
      <c r="C13" s="1">
        <v>45292</v>
      </c>
      <c r="D13">
        <v>67</v>
      </c>
      <c r="E13">
        <v>17</v>
      </c>
      <c r="F13">
        <v>552.54999999999995</v>
      </c>
      <c r="G13">
        <v>2</v>
      </c>
      <c r="H13" s="2">
        <v>0.12</v>
      </c>
      <c r="I13">
        <v>330.12</v>
      </c>
      <c r="J13">
        <v>1</v>
      </c>
      <c r="K13" s="2">
        <v>0.04</v>
      </c>
    </row>
    <row r="14" spans="1:11" x14ac:dyDescent="0.25">
      <c r="A14" t="s">
        <v>14</v>
      </c>
      <c r="B14" t="s">
        <v>1</v>
      </c>
      <c r="C14" s="1">
        <v>45292</v>
      </c>
      <c r="D14">
        <v>36</v>
      </c>
      <c r="E14">
        <v>9</v>
      </c>
      <c r="F14">
        <v>216.03</v>
      </c>
      <c r="G14">
        <v>2</v>
      </c>
      <c r="H14" s="2">
        <v>0.22</v>
      </c>
      <c r="I14">
        <v>4072.07</v>
      </c>
      <c r="J14">
        <v>3</v>
      </c>
      <c r="K14" s="2">
        <v>0.04</v>
      </c>
    </row>
    <row r="15" spans="1:11" x14ac:dyDescent="0.25">
      <c r="A15" t="s">
        <v>15</v>
      </c>
      <c r="B15" t="s">
        <v>1</v>
      </c>
      <c r="C15" s="1">
        <v>45292</v>
      </c>
      <c r="D15">
        <v>54</v>
      </c>
      <c r="E15">
        <v>10</v>
      </c>
      <c r="F15">
        <v>208.23</v>
      </c>
      <c r="G15">
        <v>3</v>
      </c>
      <c r="H15" s="2">
        <v>0.3</v>
      </c>
      <c r="I15">
        <v>645.83000000000004</v>
      </c>
      <c r="J15">
        <v>2</v>
      </c>
      <c r="K15" s="2">
        <v>0.03</v>
      </c>
    </row>
    <row r="16" spans="1:11" x14ac:dyDescent="0.25">
      <c r="A16" t="s">
        <v>16</v>
      </c>
      <c r="B16" t="s">
        <v>1</v>
      </c>
      <c r="C16" s="1">
        <v>45292</v>
      </c>
      <c r="D16">
        <v>82</v>
      </c>
      <c r="E16">
        <v>4</v>
      </c>
      <c r="F16">
        <v>180.06</v>
      </c>
      <c r="G16">
        <v>4</v>
      </c>
      <c r="H16" s="2">
        <v>1</v>
      </c>
      <c r="I16">
        <v>1207.17</v>
      </c>
      <c r="J16">
        <v>1</v>
      </c>
      <c r="K16" s="2">
        <v>0.08</v>
      </c>
    </row>
    <row r="17" spans="1:11" x14ac:dyDescent="0.25">
      <c r="A17" t="s">
        <v>17</v>
      </c>
      <c r="B17" t="s">
        <v>1</v>
      </c>
      <c r="C17" s="1">
        <v>45292</v>
      </c>
      <c r="D17">
        <v>81</v>
      </c>
      <c r="E17">
        <v>7</v>
      </c>
      <c r="F17">
        <v>82.43</v>
      </c>
      <c r="G17">
        <v>7</v>
      </c>
      <c r="H17" s="2">
        <v>1</v>
      </c>
      <c r="I17">
        <v>3463.96</v>
      </c>
      <c r="J17">
        <v>3</v>
      </c>
      <c r="K17" s="2">
        <v>0.08</v>
      </c>
    </row>
    <row r="18" spans="1:11" x14ac:dyDescent="0.25">
      <c r="A18" t="s">
        <v>18</v>
      </c>
      <c r="B18" t="s">
        <v>1</v>
      </c>
      <c r="C18" s="1">
        <v>45292</v>
      </c>
      <c r="D18">
        <v>31</v>
      </c>
      <c r="E18">
        <v>17</v>
      </c>
      <c r="F18">
        <v>476.95</v>
      </c>
      <c r="G18">
        <v>7</v>
      </c>
      <c r="H18" s="2">
        <v>0.41</v>
      </c>
      <c r="I18">
        <v>3945.43</v>
      </c>
      <c r="J18">
        <v>2</v>
      </c>
      <c r="K18" s="2">
        <v>0.04</v>
      </c>
    </row>
    <row r="19" spans="1:11" x14ac:dyDescent="0.25">
      <c r="A19" t="s">
        <v>19</v>
      </c>
      <c r="B19" t="s">
        <v>1</v>
      </c>
      <c r="C19" s="1">
        <v>45292</v>
      </c>
      <c r="D19">
        <v>92</v>
      </c>
      <c r="E19">
        <v>20</v>
      </c>
      <c r="F19">
        <v>161.41999999999999</v>
      </c>
      <c r="G19">
        <v>4</v>
      </c>
      <c r="H19" s="2">
        <v>0.2</v>
      </c>
      <c r="I19">
        <v>425.41</v>
      </c>
      <c r="J19">
        <v>1</v>
      </c>
      <c r="K19" s="2">
        <v>0.1</v>
      </c>
    </row>
    <row r="20" spans="1:11" x14ac:dyDescent="0.25">
      <c r="A20" t="s">
        <v>20</v>
      </c>
      <c r="B20" t="s">
        <v>1</v>
      </c>
      <c r="C20" s="1">
        <v>45292</v>
      </c>
      <c r="D20">
        <v>73</v>
      </c>
      <c r="E20">
        <v>12</v>
      </c>
      <c r="F20">
        <v>507.45</v>
      </c>
      <c r="G20">
        <v>0</v>
      </c>
      <c r="H20" s="2">
        <v>0</v>
      </c>
      <c r="I20">
        <v>1123.8399999999999</v>
      </c>
      <c r="J20">
        <v>3</v>
      </c>
      <c r="K20" s="2">
        <v>0</v>
      </c>
    </row>
    <row r="21" spans="1:11" x14ac:dyDescent="0.25">
      <c r="A21" t="s">
        <v>21</v>
      </c>
      <c r="B21" t="s">
        <v>1</v>
      </c>
      <c r="C21" s="1">
        <v>45292</v>
      </c>
      <c r="D21">
        <v>25</v>
      </c>
      <c r="E21">
        <v>14</v>
      </c>
      <c r="F21">
        <v>279.95</v>
      </c>
      <c r="G21">
        <v>2</v>
      </c>
      <c r="H21" s="2">
        <v>0.14000000000000001</v>
      </c>
      <c r="I21">
        <v>1432.23</v>
      </c>
      <c r="J21">
        <v>2</v>
      </c>
      <c r="K21" s="2">
        <v>0.05</v>
      </c>
    </row>
    <row r="22" spans="1:11" x14ac:dyDescent="0.25">
      <c r="A22" t="s">
        <v>22</v>
      </c>
      <c r="B22" t="s">
        <v>1</v>
      </c>
      <c r="C22" s="1">
        <v>45292</v>
      </c>
      <c r="D22">
        <v>96</v>
      </c>
      <c r="E22">
        <v>6</v>
      </c>
      <c r="F22">
        <v>532.83000000000004</v>
      </c>
      <c r="G22">
        <v>1</v>
      </c>
      <c r="H22" s="2">
        <v>0.17</v>
      </c>
      <c r="I22">
        <v>3173.13</v>
      </c>
      <c r="J22">
        <v>1</v>
      </c>
      <c r="K22" s="2">
        <v>0.03</v>
      </c>
    </row>
    <row r="23" spans="1:11" x14ac:dyDescent="0.25">
      <c r="A23" t="s">
        <v>23</v>
      </c>
      <c r="B23" t="s">
        <v>1</v>
      </c>
      <c r="C23" s="1">
        <v>45292</v>
      </c>
      <c r="D23">
        <v>63</v>
      </c>
      <c r="E23">
        <v>8</v>
      </c>
      <c r="F23">
        <v>170.49</v>
      </c>
      <c r="G23">
        <v>7</v>
      </c>
      <c r="H23" s="2">
        <v>0.88</v>
      </c>
      <c r="I23">
        <v>526.12</v>
      </c>
      <c r="J23">
        <v>3</v>
      </c>
      <c r="K23" s="2">
        <v>0.08</v>
      </c>
    </row>
    <row r="24" spans="1:11" x14ac:dyDescent="0.25">
      <c r="A24" t="s">
        <v>24</v>
      </c>
      <c r="B24" t="s">
        <v>25</v>
      </c>
      <c r="C24" s="1">
        <v>45292</v>
      </c>
      <c r="D24">
        <v>92</v>
      </c>
      <c r="E24">
        <v>13</v>
      </c>
      <c r="F24">
        <v>422.39</v>
      </c>
      <c r="G24">
        <v>1</v>
      </c>
      <c r="H24" s="2">
        <v>0.08</v>
      </c>
      <c r="I24">
        <v>2695.84</v>
      </c>
      <c r="J24">
        <v>2</v>
      </c>
      <c r="K24" s="2">
        <v>0.02</v>
      </c>
    </row>
    <row r="25" spans="1:11" x14ac:dyDescent="0.25">
      <c r="A25" t="s">
        <v>26</v>
      </c>
      <c r="B25" t="s">
        <v>25</v>
      </c>
      <c r="C25" s="1">
        <v>45292</v>
      </c>
      <c r="D25">
        <v>38</v>
      </c>
      <c r="E25">
        <v>10</v>
      </c>
      <c r="F25">
        <v>514.25</v>
      </c>
      <c r="G25">
        <v>4</v>
      </c>
      <c r="H25" s="2">
        <v>0.4</v>
      </c>
      <c r="I25">
        <v>243.62</v>
      </c>
      <c r="J25">
        <v>1</v>
      </c>
      <c r="K25" s="2">
        <v>0.06</v>
      </c>
    </row>
    <row r="26" spans="1:11" x14ac:dyDescent="0.25">
      <c r="A26" t="s">
        <v>27</v>
      </c>
      <c r="B26" t="s">
        <v>25</v>
      </c>
      <c r="C26" s="1">
        <v>45292</v>
      </c>
      <c r="D26">
        <v>43</v>
      </c>
      <c r="E26">
        <v>15</v>
      </c>
      <c r="F26">
        <v>363.48</v>
      </c>
      <c r="G26">
        <v>7</v>
      </c>
      <c r="H26" s="2">
        <v>0.47</v>
      </c>
      <c r="I26">
        <v>3843.52</v>
      </c>
      <c r="J26">
        <v>3</v>
      </c>
      <c r="K26" s="2">
        <v>0.08</v>
      </c>
    </row>
    <row r="27" spans="1:11" x14ac:dyDescent="0.25">
      <c r="A27" t="s">
        <v>0</v>
      </c>
      <c r="B27" t="s">
        <v>25</v>
      </c>
      <c r="C27" s="1">
        <v>45323</v>
      </c>
      <c r="D27">
        <v>62</v>
      </c>
      <c r="E27">
        <v>15</v>
      </c>
      <c r="F27">
        <v>361.38</v>
      </c>
      <c r="G27">
        <v>6</v>
      </c>
      <c r="H27" s="2">
        <v>0.4</v>
      </c>
      <c r="I27">
        <v>4195.1400000000003</v>
      </c>
      <c r="J27">
        <v>2</v>
      </c>
      <c r="K27" s="2">
        <v>0.03</v>
      </c>
    </row>
    <row r="28" spans="1:11" x14ac:dyDescent="0.25">
      <c r="A28" t="s">
        <v>2</v>
      </c>
      <c r="B28" t="s">
        <v>25</v>
      </c>
      <c r="C28" s="1">
        <v>45323</v>
      </c>
      <c r="D28">
        <v>81</v>
      </c>
      <c r="E28">
        <v>14</v>
      </c>
      <c r="F28">
        <v>362.96</v>
      </c>
      <c r="G28">
        <v>5</v>
      </c>
      <c r="H28" s="2">
        <v>0.36</v>
      </c>
      <c r="I28">
        <v>3620.19</v>
      </c>
      <c r="J28">
        <v>1</v>
      </c>
      <c r="K28" s="2">
        <v>0.04</v>
      </c>
    </row>
    <row r="29" spans="1:11" x14ac:dyDescent="0.25">
      <c r="A29" t="s">
        <v>3</v>
      </c>
      <c r="B29" t="s">
        <v>25</v>
      </c>
      <c r="C29" s="1">
        <v>45323</v>
      </c>
      <c r="D29">
        <v>52</v>
      </c>
      <c r="E29">
        <v>14</v>
      </c>
      <c r="F29">
        <v>382.59</v>
      </c>
      <c r="G29">
        <v>3</v>
      </c>
      <c r="H29" s="2">
        <v>0.21</v>
      </c>
      <c r="I29">
        <v>3394.39</v>
      </c>
      <c r="J29">
        <v>3</v>
      </c>
      <c r="K29" s="2">
        <v>0.05</v>
      </c>
    </row>
    <row r="30" spans="1:11" x14ac:dyDescent="0.25">
      <c r="A30" t="s">
        <v>4</v>
      </c>
      <c r="B30" t="s">
        <v>25</v>
      </c>
      <c r="C30" s="1">
        <v>45323</v>
      </c>
      <c r="D30">
        <v>22</v>
      </c>
      <c r="E30">
        <v>7</v>
      </c>
      <c r="F30">
        <v>79.459999999999994</v>
      </c>
      <c r="G30">
        <v>3</v>
      </c>
      <c r="H30" s="2">
        <v>0.43</v>
      </c>
      <c r="I30">
        <v>1638.74</v>
      </c>
      <c r="J30">
        <v>2</v>
      </c>
      <c r="K30" s="2">
        <v>0.03</v>
      </c>
    </row>
    <row r="31" spans="1:11" x14ac:dyDescent="0.25">
      <c r="A31" t="s">
        <v>5</v>
      </c>
      <c r="B31" t="s">
        <v>25</v>
      </c>
      <c r="C31" s="1">
        <v>45323</v>
      </c>
      <c r="D31">
        <v>93</v>
      </c>
      <c r="E31">
        <v>11</v>
      </c>
      <c r="F31">
        <v>446.3</v>
      </c>
      <c r="G31">
        <v>5</v>
      </c>
      <c r="H31" s="2">
        <v>0.45</v>
      </c>
      <c r="I31">
        <v>1057.1400000000001</v>
      </c>
      <c r="J31">
        <v>1</v>
      </c>
      <c r="K31" s="2">
        <v>0.04</v>
      </c>
    </row>
    <row r="32" spans="1:11" x14ac:dyDescent="0.25">
      <c r="A32" t="s">
        <v>6</v>
      </c>
      <c r="B32" t="s">
        <v>25</v>
      </c>
      <c r="C32" s="1">
        <v>45323</v>
      </c>
      <c r="D32">
        <v>65</v>
      </c>
      <c r="E32">
        <v>7</v>
      </c>
      <c r="F32">
        <v>461.67</v>
      </c>
      <c r="G32">
        <v>2</v>
      </c>
      <c r="H32" s="2">
        <v>0.28999999999999998</v>
      </c>
      <c r="I32">
        <v>3486.23</v>
      </c>
      <c r="J32">
        <v>3</v>
      </c>
      <c r="K32" s="2">
        <v>0.01</v>
      </c>
    </row>
    <row r="33" spans="1:11" x14ac:dyDescent="0.25">
      <c r="A33" t="s">
        <v>7</v>
      </c>
      <c r="B33" t="s">
        <v>25</v>
      </c>
      <c r="C33" s="1">
        <v>45323</v>
      </c>
      <c r="D33">
        <v>90</v>
      </c>
      <c r="E33">
        <v>20</v>
      </c>
      <c r="F33">
        <v>328.63</v>
      </c>
      <c r="G33">
        <v>3</v>
      </c>
      <c r="H33" s="2">
        <v>0.15</v>
      </c>
      <c r="I33">
        <v>2662.44</v>
      </c>
      <c r="J33">
        <v>2</v>
      </c>
      <c r="K33" s="2">
        <v>0.11</v>
      </c>
    </row>
    <row r="34" spans="1:11" x14ac:dyDescent="0.25">
      <c r="A34" t="s">
        <v>8</v>
      </c>
      <c r="B34" t="s">
        <v>25</v>
      </c>
      <c r="C34" s="1">
        <v>45323</v>
      </c>
      <c r="D34">
        <v>48</v>
      </c>
      <c r="E34">
        <v>7</v>
      </c>
      <c r="F34">
        <v>247.66</v>
      </c>
      <c r="G34">
        <v>6</v>
      </c>
      <c r="H34" s="2">
        <v>0.86</v>
      </c>
      <c r="I34">
        <v>4335.84</v>
      </c>
      <c r="J34">
        <v>1</v>
      </c>
      <c r="K34" s="2">
        <v>0.04</v>
      </c>
    </row>
    <row r="35" spans="1:11" x14ac:dyDescent="0.25">
      <c r="A35" t="s">
        <v>9</v>
      </c>
      <c r="B35" t="s">
        <v>25</v>
      </c>
      <c r="C35" s="1">
        <v>45323</v>
      </c>
      <c r="D35">
        <v>37</v>
      </c>
      <c r="E35">
        <v>17</v>
      </c>
      <c r="F35">
        <v>378.61</v>
      </c>
      <c r="G35">
        <v>10</v>
      </c>
      <c r="H35" s="2">
        <v>0.59</v>
      </c>
      <c r="I35">
        <v>1295.07</v>
      </c>
      <c r="J35">
        <v>3</v>
      </c>
      <c r="K35" s="2">
        <v>0.06</v>
      </c>
    </row>
    <row r="36" spans="1:11" x14ac:dyDescent="0.25">
      <c r="A36" t="s">
        <v>10</v>
      </c>
      <c r="B36" t="s">
        <v>25</v>
      </c>
      <c r="C36" s="1">
        <v>45323</v>
      </c>
      <c r="D36">
        <v>68</v>
      </c>
      <c r="E36">
        <v>16</v>
      </c>
      <c r="F36">
        <v>299.58999999999997</v>
      </c>
      <c r="G36">
        <v>9</v>
      </c>
      <c r="H36" s="2">
        <v>0.56000000000000005</v>
      </c>
      <c r="I36">
        <v>979.47</v>
      </c>
      <c r="J36">
        <v>2</v>
      </c>
      <c r="K36" s="2">
        <v>0.04</v>
      </c>
    </row>
    <row r="37" spans="1:11" x14ac:dyDescent="0.25">
      <c r="A37" t="s">
        <v>11</v>
      </c>
      <c r="B37" t="s">
        <v>25</v>
      </c>
      <c r="C37" s="1">
        <v>45323</v>
      </c>
      <c r="D37">
        <v>20</v>
      </c>
      <c r="E37">
        <v>9</v>
      </c>
      <c r="F37">
        <v>202.4</v>
      </c>
      <c r="G37">
        <v>7</v>
      </c>
      <c r="H37" s="2">
        <v>0.78</v>
      </c>
      <c r="I37">
        <v>732.99</v>
      </c>
      <c r="J37">
        <v>1</v>
      </c>
      <c r="K37" s="2">
        <v>0.08</v>
      </c>
    </row>
    <row r="38" spans="1:11" x14ac:dyDescent="0.25">
      <c r="A38" t="s">
        <v>12</v>
      </c>
      <c r="B38" t="s">
        <v>25</v>
      </c>
      <c r="C38" s="1">
        <v>45323</v>
      </c>
      <c r="D38">
        <v>35</v>
      </c>
      <c r="E38">
        <v>6</v>
      </c>
      <c r="F38">
        <v>568.38</v>
      </c>
      <c r="G38">
        <v>6</v>
      </c>
      <c r="H38" s="2">
        <v>1</v>
      </c>
      <c r="I38">
        <v>3949.69</v>
      </c>
      <c r="J38">
        <v>1</v>
      </c>
      <c r="K38" s="2">
        <v>0.04</v>
      </c>
    </row>
    <row r="39" spans="1:11" x14ac:dyDescent="0.25">
      <c r="A39" t="s">
        <v>13</v>
      </c>
      <c r="B39" t="s">
        <v>25</v>
      </c>
      <c r="C39" s="1">
        <v>45323</v>
      </c>
      <c r="D39">
        <v>68</v>
      </c>
      <c r="E39">
        <v>21</v>
      </c>
      <c r="F39">
        <v>553.08000000000004</v>
      </c>
      <c r="G39">
        <v>3</v>
      </c>
      <c r="H39" s="2">
        <v>0.14000000000000001</v>
      </c>
      <c r="I39">
        <v>360.7</v>
      </c>
      <c r="J39">
        <v>3</v>
      </c>
      <c r="K39" s="2">
        <v>0.03</v>
      </c>
    </row>
    <row r="40" spans="1:11" x14ac:dyDescent="0.25">
      <c r="A40" t="s">
        <v>14</v>
      </c>
      <c r="B40" t="s">
        <v>25</v>
      </c>
      <c r="C40" s="1">
        <v>45323</v>
      </c>
      <c r="D40">
        <v>30</v>
      </c>
      <c r="E40">
        <v>8</v>
      </c>
      <c r="F40">
        <v>223.22</v>
      </c>
      <c r="G40">
        <v>2</v>
      </c>
      <c r="H40" s="2">
        <v>0.25</v>
      </c>
      <c r="I40">
        <v>3595.12</v>
      </c>
      <c r="J40">
        <v>2</v>
      </c>
      <c r="K40" s="2">
        <v>0.04</v>
      </c>
    </row>
    <row r="41" spans="1:11" x14ac:dyDescent="0.25">
      <c r="A41" t="s">
        <v>15</v>
      </c>
      <c r="B41" t="s">
        <v>25</v>
      </c>
      <c r="C41" s="1">
        <v>45323</v>
      </c>
      <c r="D41">
        <v>69</v>
      </c>
      <c r="E41">
        <v>8</v>
      </c>
      <c r="F41">
        <v>199.93</v>
      </c>
      <c r="G41">
        <v>2</v>
      </c>
      <c r="H41" s="2">
        <v>0.25</v>
      </c>
      <c r="I41">
        <v>610.66</v>
      </c>
      <c r="J41">
        <v>1</v>
      </c>
      <c r="K41" s="2">
        <v>0.03</v>
      </c>
    </row>
    <row r="42" spans="1:11" x14ac:dyDescent="0.25">
      <c r="A42" t="s">
        <v>16</v>
      </c>
      <c r="B42" t="s">
        <v>25</v>
      </c>
      <c r="C42" s="1">
        <v>45323</v>
      </c>
      <c r="D42">
        <v>92</v>
      </c>
      <c r="E42">
        <v>6</v>
      </c>
      <c r="F42">
        <v>180.46</v>
      </c>
      <c r="G42">
        <v>5</v>
      </c>
      <c r="H42" s="2">
        <v>0.83</v>
      </c>
      <c r="I42">
        <v>1173.27</v>
      </c>
      <c r="J42">
        <v>3</v>
      </c>
      <c r="K42" s="2">
        <v>0.08</v>
      </c>
    </row>
    <row r="43" spans="1:11" x14ac:dyDescent="0.25">
      <c r="A43" t="s">
        <v>17</v>
      </c>
      <c r="B43" t="s">
        <v>25</v>
      </c>
      <c r="C43" s="1">
        <v>45323</v>
      </c>
      <c r="D43">
        <v>92</v>
      </c>
      <c r="E43">
        <v>7</v>
      </c>
      <c r="F43">
        <v>80.12</v>
      </c>
      <c r="G43">
        <v>6</v>
      </c>
      <c r="H43" s="2">
        <v>0.86</v>
      </c>
      <c r="I43">
        <v>3794.02</v>
      </c>
      <c r="J43">
        <v>2</v>
      </c>
      <c r="K43" s="2">
        <v>0.1</v>
      </c>
    </row>
    <row r="44" spans="1:11" x14ac:dyDescent="0.25">
      <c r="A44" t="s">
        <v>18</v>
      </c>
      <c r="B44" t="s">
        <v>25</v>
      </c>
      <c r="C44" s="1">
        <v>45323</v>
      </c>
      <c r="D44">
        <v>21</v>
      </c>
      <c r="E44">
        <v>14</v>
      </c>
      <c r="F44">
        <v>563.79</v>
      </c>
      <c r="G44">
        <v>8</v>
      </c>
      <c r="H44" s="2">
        <v>0.56999999999999995</v>
      </c>
      <c r="I44">
        <v>3616.21</v>
      </c>
      <c r="J44">
        <v>1</v>
      </c>
      <c r="K44" s="2">
        <v>0.04</v>
      </c>
    </row>
    <row r="45" spans="1:11" x14ac:dyDescent="0.25">
      <c r="A45" t="s">
        <v>19</v>
      </c>
      <c r="B45" t="s">
        <v>25</v>
      </c>
      <c r="C45" s="1">
        <v>45323</v>
      </c>
      <c r="D45">
        <v>83</v>
      </c>
      <c r="E45">
        <v>20</v>
      </c>
      <c r="F45">
        <v>193.39</v>
      </c>
      <c r="G45">
        <v>5</v>
      </c>
      <c r="H45" s="2">
        <v>0.25</v>
      </c>
      <c r="I45">
        <v>402.53</v>
      </c>
      <c r="J45">
        <v>3</v>
      </c>
      <c r="K45" s="2">
        <v>0.1</v>
      </c>
    </row>
    <row r="46" spans="1:11" x14ac:dyDescent="0.25">
      <c r="A46" t="s">
        <v>20</v>
      </c>
      <c r="B46" t="s">
        <v>25</v>
      </c>
      <c r="C46" s="1">
        <v>45323</v>
      </c>
      <c r="D46">
        <v>57</v>
      </c>
      <c r="E46">
        <v>11</v>
      </c>
      <c r="F46">
        <v>454.77</v>
      </c>
      <c r="G46">
        <v>1</v>
      </c>
      <c r="H46" s="2">
        <v>0.09</v>
      </c>
      <c r="I46">
        <v>1152.4100000000001</v>
      </c>
      <c r="J46">
        <v>2</v>
      </c>
      <c r="K46" s="2">
        <v>0</v>
      </c>
    </row>
    <row r="47" spans="1:11" x14ac:dyDescent="0.25">
      <c r="A47" t="s">
        <v>21</v>
      </c>
      <c r="B47" t="s">
        <v>25</v>
      </c>
      <c r="C47" s="1">
        <v>45323</v>
      </c>
      <c r="D47">
        <v>22</v>
      </c>
      <c r="E47">
        <v>17</v>
      </c>
      <c r="F47">
        <v>291.97000000000003</v>
      </c>
      <c r="G47">
        <v>1</v>
      </c>
      <c r="H47" s="2">
        <v>0.06</v>
      </c>
      <c r="I47">
        <v>1703.6</v>
      </c>
      <c r="J47">
        <v>1</v>
      </c>
      <c r="K47" s="2">
        <v>0.05</v>
      </c>
    </row>
    <row r="48" spans="1:11" x14ac:dyDescent="0.25">
      <c r="A48" t="s">
        <v>22</v>
      </c>
      <c r="B48" t="s">
        <v>25</v>
      </c>
      <c r="C48" s="1">
        <v>45323</v>
      </c>
      <c r="D48">
        <v>78</v>
      </c>
      <c r="E48">
        <v>5</v>
      </c>
      <c r="F48">
        <v>553.86</v>
      </c>
      <c r="G48">
        <v>1</v>
      </c>
      <c r="H48" s="2">
        <v>0.2</v>
      </c>
      <c r="I48">
        <v>3503.57</v>
      </c>
      <c r="J48">
        <v>3</v>
      </c>
      <c r="K48" s="2">
        <v>0.03</v>
      </c>
    </row>
    <row r="49" spans="1:11" x14ac:dyDescent="0.25">
      <c r="A49" t="s">
        <v>23</v>
      </c>
      <c r="B49" t="s">
        <v>25</v>
      </c>
      <c r="C49" s="1">
        <v>45323</v>
      </c>
      <c r="D49">
        <v>68</v>
      </c>
      <c r="E49">
        <v>7</v>
      </c>
      <c r="F49">
        <v>171.76</v>
      </c>
      <c r="G49">
        <v>7</v>
      </c>
      <c r="H49" s="2">
        <v>1</v>
      </c>
      <c r="I49">
        <v>548.36</v>
      </c>
      <c r="J49">
        <v>2</v>
      </c>
      <c r="K49" s="2">
        <v>0.08</v>
      </c>
    </row>
    <row r="50" spans="1:11" x14ac:dyDescent="0.25">
      <c r="A50" t="s">
        <v>24</v>
      </c>
      <c r="B50" t="s">
        <v>25</v>
      </c>
      <c r="C50" s="1">
        <v>45323</v>
      </c>
      <c r="D50">
        <v>83</v>
      </c>
      <c r="E50">
        <v>16</v>
      </c>
      <c r="F50">
        <v>382.21</v>
      </c>
      <c r="G50">
        <v>1</v>
      </c>
      <c r="H50" s="2">
        <v>0.06</v>
      </c>
      <c r="I50">
        <v>3017.43</v>
      </c>
      <c r="J50">
        <v>3</v>
      </c>
      <c r="K50" s="2">
        <v>0.02</v>
      </c>
    </row>
    <row r="51" spans="1:11" x14ac:dyDescent="0.25">
      <c r="A51" t="s">
        <v>26</v>
      </c>
      <c r="B51" t="s">
        <v>25</v>
      </c>
      <c r="C51" s="1">
        <v>45323</v>
      </c>
      <c r="D51">
        <v>31</v>
      </c>
      <c r="E51">
        <v>11</v>
      </c>
      <c r="F51">
        <v>562.73</v>
      </c>
      <c r="G51">
        <v>4</v>
      </c>
      <c r="H51" s="2">
        <v>0.36</v>
      </c>
      <c r="I51">
        <v>221.94</v>
      </c>
      <c r="J51">
        <v>2</v>
      </c>
      <c r="K51" s="2">
        <v>7.0000000000000007E-2</v>
      </c>
    </row>
    <row r="52" spans="1:11" x14ac:dyDescent="0.25">
      <c r="A52" t="s">
        <v>27</v>
      </c>
      <c r="B52" t="s">
        <v>25</v>
      </c>
      <c r="C52" s="1">
        <v>45323</v>
      </c>
      <c r="D52">
        <v>34</v>
      </c>
      <c r="E52">
        <v>17</v>
      </c>
      <c r="F52">
        <v>380.37</v>
      </c>
      <c r="G52">
        <v>7</v>
      </c>
      <c r="H52" s="2">
        <v>0.41</v>
      </c>
      <c r="I52">
        <v>4183.2700000000004</v>
      </c>
      <c r="J52">
        <v>1</v>
      </c>
      <c r="K52" s="2">
        <v>0.09</v>
      </c>
    </row>
    <row r="53" spans="1:11" x14ac:dyDescent="0.25">
      <c r="A53" t="s">
        <v>0</v>
      </c>
      <c r="B53" t="s">
        <v>25</v>
      </c>
      <c r="C53" s="1">
        <v>45352</v>
      </c>
      <c r="D53">
        <v>55</v>
      </c>
      <c r="E53">
        <v>17</v>
      </c>
      <c r="F53">
        <v>315.62</v>
      </c>
      <c r="G53">
        <v>5</v>
      </c>
      <c r="H53" s="2">
        <v>0.28999999999999998</v>
      </c>
      <c r="I53">
        <v>3890.73</v>
      </c>
      <c r="J53">
        <v>3</v>
      </c>
      <c r="K53" s="2">
        <v>0.03</v>
      </c>
    </row>
    <row r="54" spans="1:11" x14ac:dyDescent="0.25">
      <c r="A54" t="s">
        <v>2</v>
      </c>
      <c r="B54" t="s">
        <v>25</v>
      </c>
      <c r="C54" s="1">
        <v>45352</v>
      </c>
      <c r="D54">
        <v>91</v>
      </c>
      <c r="E54">
        <v>10</v>
      </c>
      <c r="F54">
        <v>361.58</v>
      </c>
      <c r="G54">
        <v>4</v>
      </c>
      <c r="H54" s="2">
        <v>0.4</v>
      </c>
      <c r="I54">
        <v>3674.37</v>
      </c>
      <c r="J54">
        <v>2</v>
      </c>
      <c r="K54" s="2">
        <v>0.04</v>
      </c>
    </row>
    <row r="55" spans="1:11" x14ac:dyDescent="0.25">
      <c r="A55" t="s">
        <v>3</v>
      </c>
      <c r="B55" t="s">
        <v>25</v>
      </c>
      <c r="C55" s="1">
        <v>45352</v>
      </c>
      <c r="D55">
        <v>59</v>
      </c>
      <c r="E55">
        <v>13</v>
      </c>
      <c r="F55">
        <v>402.9</v>
      </c>
      <c r="G55">
        <v>2</v>
      </c>
      <c r="H55" s="2">
        <v>0.15</v>
      </c>
      <c r="I55">
        <v>3357.27</v>
      </c>
      <c r="J55">
        <v>1</v>
      </c>
      <c r="K55" s="2">
        <v>0.04</v>
      </c>
    </row>
    <row r="56" spans="1:11" x14ac:dyDescent="0.25">
      <c r="A56" t="s">
        <v>4</v>
      </c>
      <c r="B56" t="s">
        <v>25</v>
      </c>
      <c r="C56" s="1">
        <v>45352</v>
      </c>
      <c r="D56">
        <v>19</v>
      </c>
      <c r="E56">
        <v>6</v>
      </c>
      <c r="F56">
        <v>82.65</v>
      </c>
      <c r="G56">
        <v>3</v>
      </c>
      <c r="H56" s="2">
        <v>0.5</v>
      </c>
      <c r="I56">
        <v>1469.62</v>
      </c>
      <c r="J56">
        <v>3</v>
      </c>
      <c r="K56" s="2">
        <v>0.03</v>
      </c>
    </row>
    <row r="57" spans="1:11" x14ac:dyDescent="0.25">
      <c r="A57" t="s">
        <v>5</v>
      </c>
      <c r="B57" t="s">
        <v>25</v>
      </c>
      <c r="C57" s="1">
        <v>45352</v>
      </c>
      <c r="D57">
        <v>77</v>
      </c>
      <c r="E57">
        <v>14</v>
      </c>
      <c r="F57">
        <v>494.43</v>
      </c>
      <c r="G57">
        <v>4</v>
      </c>
      <c r="H57" s="2">
        <v>0.28999999999999998</v>
      </c>
      <c r="I57">
        <v>963.35</v>
      </c>
      <c r="J57">
        <v>2</v>
      </c>
      <c r="K57" s="2">
        <v>0.04</v>
      </c>
    </row>
    <row r="58" spans="1:11" x14ac:dyDescent="0.25">
      <c r="A58" t="s">
        <v>6</v>
      </c>
      <c r="B58" t="s">
        <v>25</v>
      </c>
      <c r="C58" s="1">
        <v>45352</v>
      </c>
      <c r="D58">
        <v>50</v>
      </c>
      <c r="E58">
        <v>8</v>
      </c>
      <c r="F58">
        <v>512.92999999999995</v>
      </c>
      <c r="G58">
        <v>3</v>
      </c>
      <c r="H58" s="2">
        <v>0.38</v>
      </c>
      <c r="I58">
        <v>3725.66</v>
      </c>
      <c r="J58">
        <v>1</v>
      </c>
      <c r="K58" s="2">
        <v>0.01</v>
      </c>
    </row>
    <row r="59" spans="1:11" x14ac:dyDescent="0.25">
      <c r="A59" t="s">
        <v>7</v>
      </c>
      <c r="B59" t="s">
        <v>25</v>
      </c>
      <c r="C59" s="1">
        <v>45352</v>
      </c>
      <c r="D59">
        <v>88</v>
      </c>
      <c r="E59">
        <v>18</v>
      </c>
      <c r="F59">
        <v>291.04000000000002</v>
      </c>
      <c r="G59">
        <v>2</v>
      </c>
      <c r="H59" s="2">
        <v>0.11</v>
      </c>
      <c r="I59">
        <v>2619.84</v>
      </c>
      <c r="J59">
        <v>3</v>
      </c>
      <c r="K59" s="2">
        <v>0.11</v>
      </c>
    </row>
    <row r="60" spans="1:11" x14ac:dyDescent="0.25">
      <c r="A60" t="s">
        <v>8</v>
      </c>
      <c r="B60" t="s">
        <v>25</v>
      </c>
      <c r="C60" s="1">
        <v>45352</v>
      </c>
      <c r="D60">
        <v>62</v>
      </c>
      <c r="E60">
        <v>9</v>
      </c>
      <c r="F60">
        <v>252.77</v>
      </c>
      <c r="G60">
        <v>7</v>
      </c>
      <c r="H60" s="2">
        <v>0.78</v>
      </c>
      <c r="I60">
        <v>4641.6099999999997</v>
      </c>
      <c r="J60">
        <v>2</v>
      </c>
      <c r="K60" s="2">
        <v>0.04</v>
      </c>
    </row>
    <row r="61" spans="1:11" x14ac:dyDescent="0.25">
      <c r="A61" t="s">
        <v>9</v>
      </c>
      <c r="B61" t="s">
        <v>25</v>
      </c>
      <c r="C61" s="1">
        <v>45352</v>
      </c>
      <c r="D61">
        <v>33</v>
      </c>
      <c r="E61">
        <v>18</v>
      </c>
      <c r="F61">
        <v>348.57</v>
      </c>
      <c r="G61">
        <v>8</v>
      </c>
      <c r="H61" s="2">
        <v>0.44</v>
      </c>
      <c r="I61">
        <v>1169.6400000000001</v>
      </c>
      <c r="J61">
        <v>1</v>
      </c>
      <c r="K61" s="2">
        <v>0.05</v>
      </c>
    </row>
    <row r="62" spans="1:11" x14ac:dyDescent="0.25">
      <c r="A62" t="s">
        <v>10</v>
      </c>
      <c r="B62" t="s">
        <v>25</v>
      </c>
      <c r="C62" s="1">
        <v>45352</v>
      </c>
      <c r="D62">
        <v>54</v>
      </c>
      <c r="E62">
        <v>15</v>
      </c>
      <c r="F62">
        <v>321.99</v>
      </c>
      <c r="G62">
        <v>8</v>
      </c>
      <c r="H62" s="2">
        <v>0.53</v>
      </c>
      <c r="I62">
        <v>1080.0899999999999</v>
      </c>
      <c r="J62">
        <v>1</v>
      </c>
      <c r="K62" s="2">
        <v>0.04</v>
      </c>
    </row>
    <row r="63" spans="1:11" x14ac:dyDescent="0.25">
      <c r="A63" t="s">
        <v>11</v>
      </c>
      <c r="B63" t="s">
        <v>25</v>
      </c>
      <c r="C63" s="1">
        <v>45352</v>
      </c>
      <c r="D63">
        <v>16</v>
      </c>
      <c r="E63">
        <v>9</v>
      </c>
      <c r="F63">
        <v>199.87</v>
      </c>
      <c r="G63">
        <v>9</v>
      </c>
      <c r="H63" s="2">
        <v>1</v>
      </c>
      <c r="I63">
        <v>818.64</v>
      </c>
      <c r="J63">
        <v>3</v>
      </c>
      <c r="K63" s="2">
        <v>7.0000000000000007E-2</v>
      </c>
    </row>
    <row r="64" spans="1:11" x14ac:dyDescent="0.25">
      <c r="A64" t="s">
        <v>12</v>
      </c>
      <c r="B64" t="s">
        <v>25</v>
      </c>
      <c r="C64" s="1">
        <v>45352</v>
      </c>
      <c r="D64">
        <v>30</v>
      </c>
      <c r="E64">
        <v>5</v>
      </c>
      <c r="F64">
        <v>565.19000000000005</v>
      </c>
      <c r="G64">
        <v>4</v>
      </c>
      <c r="H64" s="2">
        <v>0.8</v>
      </c>
      <c r="I64">
        <v>3621.51</v>
      </c>
      <c r="J64">
        <v>2</v>
      </c>
      <c r="K64" s="2">
        <v>0.04</v>
      </c>
    </row>
    <row r="65" spans="1:11" x14ac:dyDescent="0.25">
      <c r="A65" t="s">
        <v>13</v>
      </c>
      <c r="B65" t="s">
        <v>25</v>
      </c>
      <c r="C65" s="1">
        <v>45352</v>
      </c>
      <c r="D65">
        <v>68</v>
      </c>
      <c r="E65">
        <v>19</v>
      </c>
      <c r="F65">
        <v>623.25</v>
      </c>
      <c r="G65">
        <v>3</v>
      </c>
      <c r="H65" s="2">
        <v>0.16</v>
      </c>
      <c r="I65">
        <v>355.96</v>
      </c>
      <c r="J65">
        <v>1</v>
      </c>
      <c r="K65" s="2">
        <v>0.04</v>
      </c>
    </row>
    <row r="66" spans="1:11" x14ac:dyDescent="0.25">
      <c r="A66" t="s">
        <v>14</v>
      </c>
      <c r="B66" t="s">
        <v>25</v>
      </c>
      <c r="C66" s="1">
        <v>45352</v>
      </c>
      <c r="D66">
        <v>31</v>
      </c>
      <c r="E66">
        <v>9</v>
      </c>
      <c r="F66">
        <v>209.18</v>
      </c>
      <c r="G66">
        <v>2</v>
      </c>
      <c r="H66" s="2">
        <v>0.22</v>
      </c>
      <c r="I66">
        <v>4153.3100000000004</v>
      </c>
      <c r="J66">
        <v>3</v>
      </c>
      <c r="K66" s="2">
        <v>0.04</v>
      </c>
    </row>
    <row r="67" spans="1:11" x14ac:dyDescent="0.25">
      <c r="A67" t="s">
        <v>15</v>
      </c>
      <c r="B67" t="s">
        <v>25</v>
      </c>
      <c r="C67" s="1">
        <v>45352</v>
      </c>
      <c r="D67">
        <v>61</v>
      </c>
      <c r="E67">
        <v>7</v>
      </c>
      <c r="F67">
        <v>190.5</v>
      </c>
      <c r="G67">
        <v>3</v>
      </c>
      <c r="H67" s="2">
        <v>0.43</v>
      </c>
      <c r="I67">
        <v>661.2</v>
      </c>
      <c r="J67">
        <v>2</v>
      </c>
      <c r="K67" s="2">
        <v>0.03</v>
      </c>
    </row>
    <row r="68" spans="1:11" x14ac:dyDescent="0.25">
      <c r="A68" t="s">
        <v>16</v>
      </c>
      <c r="B68" t="s">
        <v>25</v>
      </c>
      <c r="C68" s="1">
        <v>45352</v>
      </c>
      <c r="D68">
        <v>83</v>
      </c>
      <c r="E68">
        <v>5</v>
      </c>
      <c r="F68">
        <v>170.12</v>
      </c>
      <c r="G68">
        <v>3</v>
      </c>
      <c r="H68" s="2">
        <v>0.6</v>
      </c>
      <c r="I68">
        <v>1171.95</v>
      </c>
      <c r="J68">
        <v>1</v>
      </c>
      <c r="K68" s="2">
        <v>0.08</v>
      </c>
    </row>
    <row r="69" spans="1:11" x14ac:dyDescent="0.25">
      <c r="A69" t="s">
        <v>17</v>
      </c>
      <c r="B69" t="s">
        <v>25</v>
      </c>
      <c r="C69" s="1">
        <v>45352</v>
      </c>
      <c r="D69">
        <v>74</v>
      </c>
      <c r="E69">
        <v>7</v>
      </c>
      <c r="F69">
        <v>87.89</v>
      </c>
      <c r="G69">
        <v>7</v>
      </c>
      <c r="H69" s="2">
        <v>1</v>
      </c>
      <c r="I69">
        <v>3848.14</v>
      </c>
      <c r="J69">
        <v>3</v>
      </c>
      <c r="K69" s="2">
        <v>0.09</v>
      </c>
    </row>
    <row r="70" spans="1:11" x14ac:dyDescent="0.25">
      <c r="A70" t="s">
        <v>18</v>
      </c>
      <c r="B70" t="s">
        <v>25</v>
      </c>
      <c r="C70" s="1">
        <v>45352</v>
      </c>
      <c r="D70">
        <v>21</v>
      </c>
      <c r="E70">
        <v>14</v>
      </c>
      <c r="F70">
        <v>498.82</v>
      </c>
      <c r="G70">
        <v>5</v>
      </c>
      <c r="H70" s="2">
        <v>0.36</v>
      </c>
      <c r="I70">
        <v>4039.26</v>
      </c>
      <c r="J70">
        <v>2</v>
      </c>
      <c r="K70" s="2">
        <v>0.03</v>
      </c>
    </row>
    <row r="71" spans="1:11" x14ac:dyDescent="0.25">
      <c r="A71" t="s">
        <v>19</v>
      </c>
      <c r="B71" t="s">
        <v>28</v>
      </c>
      <c r="C71" s="1">
        <v>45352</v>
      </c>
      <c r="D71">
        <v>84</v>
      </c>
      <c r="E71">
        <v>15</v>
      </c>
      <c r="F71">
        <v>163.21</v>
      </c>
      <c r="G71">
        <v>5</v>
      </c>
      <c r="H71" s="2">
        <v>0.33</v>
      </c>
      <c r="I71">
        <v>411.36</v>
      </c>
      <c r="J71">
        <v>1</v>
      </c>
      <c r="K71" s="2">
        <v>0.1</v>
      </c>
    </row>
    <row r="72" spans="1:11" x14ac:dyDescent="0.25">
      <c r="A72" t="s">
        <v>20</v>
      </c>
      <c r="B72" t="s">
        <v>28</v>
      </c>
      <c r="C72" s="1">
        <v>45352</v>
      </c>
      <c r="D72">
        <v>64</v>
      </c>
      <c r="E72">
        <v>13</v>
      </c>
      <c r="F72">
        <v>496.4</v>
      </c>
      <c r="G72">
        <v>0</v>
      </c>
      <c r="H72" s="2">
        <v>0</v>
      </c>
      <c r="I72">
        <v>1306.3800000000001</v>
      </c>
      <c r="J72">
        <v>3</v>
      </c>
      <c r="K72" s="2">
        <v>0</v>
      </c>
    </row>
    <row r="73" spans="1:11" x14ac:dyDescent="0.25">
      <c r="A73" t="s">
        <v>21</v>
      </c>
      <c r="B73" t="s">
        <v>28</v>
      </c>
      <c r="C73" s="1">
        <v>45352</v>
      </c>
      <c r="D73">
        <v>21</v>
      </c>
      <c r="E73">
        <v>13</v>
      </c>
      <c r="F73">
        <v>315.41000000000003</v>
      </c>
      <c r="G73">
        <v>1</v>
      </c>
      <c r="H73" s="2">
        <v>0.08</v>
      </c>
      <c r="I73">
        <v>1692.59</v>
      </c>
      <c r="J73">
        <v>2</v>
      </c>
      <c r="K73" s="2">
        <v>0.05</v>
      </c>
    </row>
    <row r="74" spans="1:11" x14ac:dyDescent="0.25">
      <c r="A74" t="s">
        <v>22</v>
      </c>
      <c r="B74" t="s">
        <v>28</v>
      </c>
      <c r="C74" s="1">
        <v>45352</v>
      </c>
      <c r="D74">
        <v>110</v>
      </c>
      <c r="E74">
        <v>6</v>
      </c>
      <c r="F74">
        <v>535.37</v>
      </c>
      <c r="G74">
        <v>2</v>
      </c>
      <c r="H74" s="2">
        <v>0.33</v>
      </c>
      <c r="I74">
        <v>3113.29</v>
      </c>
      <c r="J74">
        <v>1</v>
      </c>
      <c r="K74" s="2">
        <v>0.03</v>
      </c>
    </row>
    <row r="75" spans="1:11" x14ac:dyDescent="0.25">
      <c r="A75" t="s">
        <v>23</v>
      </c>
      <c r="B75" t="s">
        <v>28</v>
      </c>
      <c r="C75" s="1">
        <v>45352</v>
      </c>
      <c r="D75">
        <v>62</v>
      </c>
      <c r="E75">
        <v>8</v>
      </c>
      <c r="F75">
        <v>198.84</v>
      </c>
      <c r="G75">
        <v>8</v>
      </c>
      <c r="H75" s="2">
        <v>1</v>
      </c>
      <c r="I75">
        <v>534.58000000000004</v>
      </c>
      <c r="J75">
        <v>3</v>
      </c>
      <c r="K75" s="2">
        <v>0.09</v>
      </c>
    </row>
    <row r="76" spans="1:11" x14ac:dyDescent="0.25">
      <c r="A76" t="s">
        <v>24</v>
      </c>
      <c r="B76" t="s">
        <v>28</v>
      </c>
      <c r="C76" s="1">
        <v>45352</v>
      </c>
      <c r="D76">
        <v>108</v>
      </c>
      <c r="E76">
        <v>14</v>
      </c>
      <c r="F76">
        <v>416.78</v>
      </c>
      <c r="G76">
        <v>1</v>
      </c>
      <c r="H76" s="2">
        <v>7.0000000000000007E-2</v>
      </c>
      <c r="I76">
        <v>2989.69</v>
      </c>
      <c r="J76">
        <v>2</v>
      </c>
      <c r="K76" s="2">
        <v>0.03</v>
      </c>
    </row>
    <row r="77" spans="1:11" x14ac:dyDescent="0.25">
      <c r="A77" t="s">
        <v>26</v>
      </c>
      <c r="B77" t="s">
        <v>28</v>
      </c>
      <c r="C77" s="1">
        <v>45352</v>
      </c>
      <c r="D77">
        <v>28</v>
      </c>
      <c r="E77">
        <v>12</v>
      </c>
      <c r="F77">
        <v>533.85</v>
      </c>
      <c r="G77">
        <v>5</v>
      </c>
      <c r="H77" s="2">
        <v>0.42</v>
      </c>
      <c r="I77">
        <v>224.87</v>
      </c>
      <c r="J77">
        <v>1</v>
      </c>
      <c r="K77" s="2">
        <v>0.06</v>
      </c>
    </row>
    <row r="78" spans="1:11" x14ac:dyDescent="0.25">
      <c r="A78" t="s">
        <v>27</v>
      </c>
      <c r="B78" t="s">
        <v>28</v>
      </c>
      <c r="C78" s="1">
        <v>45352</v>
      </c>
      <c r="D78">
        <v>39</v>
      </c>
      <c r="E78">
        <v>16</v>
      </c>
      <c r="F78">
        <v>312.8</v>
      </c>
      <c r="G78">
        <v>8</v>
      </c>
      <c r="H78" s="2">
        <v>0.5</v>
      </c>
      <c r="I78">
        <v>4592.09</v>
      </c>
      <c r="J78">
        <v>3</v>
      </c>
      <c r="K78" s="2">
        <v>0.09</v>
      </c>
    </row>
    <row r="79" spans="1:11" x14ac:dyDescent="0.25">
      <c r="A79" t="s">
        <v>0</v>
      </c>
      <c r="B79" t="s">
        <v>28</v>
      </c>
      <c r="C79" s="1">
        <v>45383</v>
      </c>
      <c r="D79">
        <v>69</v>
      </c>
      <c r="E79">
        <v>17</v>
      </c>
      <c r="F79">
        <v>342.81</v>
      </c>
      <c r="G79">
        <v>6</v>
      </c>
      <c r="H79" s="2">
        <v>0.35</v>
      </c>
      <c r="I79">
        <v>3728.2</v>
      </c>
      <c r="J79">
        <v>2</v>
      </c>
      <c r="K79" s="2">
        <v>0.03</v>
      </c>
    </row>
    <row r="80" spans="1:11" x14ac:dyDescent="0.25">
      <c r="A80" t="s">
        <v>2</v>
      </c>
      <c r="B80" t="s">
        <v>28</v>
      </c>
      <c r="C80" s="1">
        <v>45383</v>
      </c>
      <c r="D80">
        <v>83</v>
      </c>
      <c r="E80">
        <v>11</v>
      </c>
      <c r="F80">
        <v>365.12</v>
      </c>
      <c r="G80">
        <v>5</v>
      </c>
      <c r="H80" s="2">
        <v>0.45</v>
      </c>
      <c r="I80">
        <v>3682.69</v>
      </c>
      <c r="J80">
        <v>1</v>
      </c>
      <c r="K80" s="2">
        <v>0.04</v>
      </c>
    </row>
    <row r="81" spans="1:11" x14ac:dyDescent="0.25">
      <c r="A81" t="s">
        <v>3</v>
      </c>
      <c r="B81" t="s">
        <v>28</v>
      </c>
      <c r="C81" s="1">
        <v>45383</v>
      </c>
      <c r="D81">
        <v>41</v>
      </c>
      <c r="E81">
        <v>14</v>
      </c>
      <c r="F81">
        <v>416.88</v>
      </c>
      <c r="G81">
        <v>2</v>
      </c>
      <c r="H81" s="2">
        <v>0.14000000000000001</v>
      </c>
      <c r="I81">
        <v>3638.83</v>
      </c>
      <c r="J81">
        <v>3</v>
      </c>
      <c r="K81" s="2">
        <v>0.04</v>
      </c>
    </row>
    <row r="82" spans="1:11" x14ac:dyDescent="0.25">
      <c r="A82" t="s">
        <v>4</v>
      </c>
      <c r="B82" t="s">
        <v>28</v>
      </c>
      <c r="C82" s="1">
        <v>45383</v>
      </c>
      <c r="D82">
        <v>17</v>
      </c>
      <c r="E82">
        <v>7</v>
      </c>
      <c r="F82">
        <v>81.14</v>
      </c>
      <c r="G82">
        <v>3</v>
      </c>
      <c r="H82" s="2">
        <v>0.43</v>
      </c>
      <c r="I82">
        <v>1419.04</v>
      </c>
      <c r="J82">
        <v>2</v>
      </c>
      <c r="K82" s="2">
        <v>0.03</v>
      </c>
    </row>
    <row r="83" spans="1:11" x14ac:dyDescent="0.25">
      <c r="A83" t="s">
        <v>5</v>
      </c>
      <c r="B83" t="s">
        <v>28</v>
      </c>
      <c r="C83" s="1">
        <v>45383</v>
      </c>
      <c r="D83">
        <v>76</v>
      </c>
      <c r="E83">
        <v>16</v>
      </c>
      <c r="F83">
        <v>449.04</v>
      </c>
      <c r="G83">
        <v>4</v>
      </c>
      <c r="H83" s="2">
        <v>0.25</v>
      </c>
      <c r="I83">
        <v>1019.97</v>
      </c>
      <c r="J83">
        <v>1</v>
      </c>
      <c r="K83" s="2">
        <v>0.04</v>
      </c>
    </row>
    <row r="84" spans="1:11" x14ac:dyDescent="0.25">
      <c r="A84" t="s">
        <v>6</v>
      </c>
      <c r="B84" t="s">
        <v>28</v>
      </c>
      <c r="C84" s="1">
        <v>45383</v>
      </c>
      <c r="D84">
        <v>72</v>
      </c>
      <c r="E84">
        <v>6</v>
      </c>
      <c r="F84">
        <v>508.55</v>
      </c>
      <c r="G84">
        <v>3</v>
      </c>
      <c r="H84" s="2">
        <v>0.5</v>
      </c>
      <c r="I84">
        <v>3633.75</v>
      </c>
      <c r="J84">
        <v>3</v>
      </c>
      <c r="K84" s="2">
        <v>0.01</v>
      </c>
    </row>
    <row r="85" spans="1:11" x14ac:dyDescent="0.25">
      <c r="A85" t="s">
        <v>7</v>
      </c>
      <c r="B85" t="s">
        <v>28</v>
      </c>
      <c r="C85" s="1">
        <v>45383</v>
      </c>
      <c r="D85">
        <v>72</v>
      </c>
      <c r="E85">
        <v>18</v>
      </c>
      <c r="F85">
        <v>299.08999999999997</v>
      </c>
      <c r="G85">
        <v>2</v>
      </c>
      <c r="H85" s="2">
        <v>0.11</v>
      </c>
      <c r="I85">
        <v>2378.29</v>
      </c>
      <c r="J85">
        <v>2</v>
      </c>
      <c r="K85" s="2">
        <v>0.11</v>
      </c>
    </row>
    <row r="86" spans="1:11" x14ac:dyDescent="0.25">
      <c r="A86" t="s">
        <v>8</v>
      </c>
      <c r="B86" t="s">
        <v>28</v>
      </c>
      <c r="C86" s="1">
        <v>45383</v>
      </c>
      <c r="D86">
        <v>44</v>
      </c>
      <c r="E86">
        <v>6</v>
      </c>
      <c r="F86">
        <v>246.21</v>
      </c>
      <c r="G86">
        <v>5</v>
      </c>
      <c r="H86" s="2">
        <v>0.83</v>
      </c>
      <c r="I86">
        <v>4155.8</v>
      </c>
      <c r="J86">
        <v>1</v>
      </c>
      <c r="K86" s="2">
        <v>0.04</v>
      </c>
    </row>
    <row r="87" spans="1:11" x14ac:dyDescent="0.25">
      <c r="A87" t="s">
        <v>9</v>
      </c>
      <c r="B87" t="s">
        <v>28</v>
      </c>
      <c r="C87" s="1">
        <v>45383</v>
      </c>
      <c r="D87">
        <v>29</v>
      </c>
      <c r="E87">
        <v>16</v>
      </c>
      <c r="F87">
        <v>412.07</v>
      </c>
      <c r="G87">
        <v>10</v>
      </c>
      <c r="H87" s="2">
        <v>0.63</v>
      </c>
      <c r="I87">
        <v>1075.94</v>
      </c>
      <c r="J87">
        <v>1</v>
      </c>
      <c r="K87" s="2">
        <v>0.06</v>
      </c>
    </row>
    <row r="88" spans="1:11" x14ac:dyDescent="0.25">
      <c r="A88" t="s">
        <v>10</v>
      </c>
      <c r="B88" t="s">
        <v>28</v>
      </c>
      <c r="C88" s="1">
        <v>45383</v>
      </c>
      <c r="D88">
        <v>64</v>
      </c>
      <c r="E88">
        <v>13</v>
      </c>
      <c r="F88">
        <v>317.58</v>
      </c>
      <c r="G88">
        <v>8</v>
      </c>
      <c r="H88" s="2">
        <v>0.62</v>
      </c>
      <c r="I88">
        <v>1088.22</v>
      </c>
      <c r="J88">
        <v>3</v>
      </c>
      <c r="K88" s="2">
        <v>0.03</v>
      </c>
    </row>
    <row r="89" spans="1:11" x14ac:dyDescent="0.25">
      <c r="A89" t="s">
        <v>11</v>
      </c>
      <c r="B89" t="s">
        <v>28</v>
      </c>
      <c r="C89" s="1">
        <v>45383</v>
      </c>
      <c r="D89">
        <v>16</v>
      </c>
      <c r="E89">
        <v>7</v>
      </c>
      <c r="F89">
        <v>181.58</v>
      </c>
      <c r="G89">
        <v>6</v>
      </c>
      <c r="H89" s="2">
        <v>0.86</v>
      </c>
      <c r="I89">
        <v>868.4</v>
      </c>
      <c r="J89">
        <v>2</v>
      </c>
      <c r="K89" s="2">
        <v>0.08</v>
      </c>
    </row>
    <row r="90" spans="1:11" x14ac:dyDescent="0.25">
      <c r="A90" t="s">
        <v>12</v>
      </c>
      <c r="B90" t="s">
        <v>28</v>
      </c>
      <c r="C90" s="1">
        <v>45383</v>
      </c>
      <c r="D90">
        <v>37</v>
      </c>
      <c r="E90">
        <v>7</v>
      </c>
      <c r="F90">
        <v>470.85</v>
      </c>
      <c r="G90">
        <v>7</v>
      </c>
      <c r="H90" s="2">
        <v>1</v>
      </c>
      <c r="I90">
        <v>3483.6</v>
      </c>
      <c r="J90">
        <v>1</v>
      </c>
      <c r="K90" s="2">
        <v>0.04</v>
      </c>
    </row>
    <row r="91" spans="1:11" x14ac:dyDescent="0.25">
      <c r="A91" t="s">
        <v>13</v>
      </c>
      <c r="B91" t="s">
        <v>28</v>
      </c>
      <c r="C91" s="1">
        <v>45383</v>
      </c>
      <c r="D91">
        <v>81</v>
      </c>
      <c r="E91">
        <v>16</v>
      </c>
      <c r="F91">
        <v>584.29999999999995</v>
      </c>
      <c r="G91">
        <v>3</v>
      </c>
      <c r="H91" s="2">
        <v>0.19</v>
      </c>
      <c r="I91">
        <v>377.45</v>
      </c>
      <c r="J91">
        <v>3</v>
      </c>
      <c r="K91" s="2">
        <v>0.03</v>
      </c>
    </row>
    <row r="92" spans="1:11" x14ac:dyDescent="0.25">
      <c r="A92" t="s">
        <v>14</v>
      </c>
      <c r="B92" t="s">
        <v>28</v>
      </c>
      <c r="C92" s="1">
        <v>45383</v>
      </c>
      <c r="D92">
        <v>26</v>
      </c>
      <c r="E92">
        <v>6</v>
      </c>
      <c r="F92">
        <v>231.59</v>
      </c>
      <c r="G92">
        <v>2</v>
      </c>
      <c r="H92" s="2">
        <v>0.33</v>
      </c>
      <c r="I92">
        <v>3988.15</v>
      </c>
      <c r="J92">
        <v>2</v>
      </c>
      <c r="K92" s="2">
        <v>0.04</v>
      </c>
    </row>
    <row r="93" spans="1:11" x14ac:dyDescent="0.25">
      <c r="A93" t="s">
        <v>15</v>
      </c>
      <c r="B93" t="s">
        <v>29</v>
      </c>
      <c r="C93" s="1">
        <v>45383</v>
      </c>
      <c r="D93">
        <v>69</v>
      </c>
      <c r="E93">
        <v>9</v>
      </c>
      <c r="F93">
        <v>221.01</v>
      </c>
      <c r="G93">
        <v>3</v>
      </c>
      <c r="H93" s="2">
        <v>0.33</v>
      </c>
      <c r="I93">
        <v>643.44000000000005</v>
      </c>
      <c r="J93">
        <v>1</v>
      </c>
      <c r="K93" s="2">
        <v>0.03</v>
      </c>
    </row>
    <row r="94" spans="1:11" x14ac:dyDescent="0.25">
      <c r="A94" t="s">
        <v>16</v>
      </c>
      <c r="B94" t="s">
        <v>29</v>
      </c>
      <c r="C94" s="1">
        <v>45383</v>
      </c>
      <c r="D94">
        <v>103</v>
      </c>
      <c r="E94">
        <v>6</v>
      </c>
      <c r="F94">
        <v>165.74</v>
      </c>
      <c r="G94">
        <v>6</v>
      </c>
      <c r="H94" s="2">
        <v>1</v>
      </c>
      <c r="I94">
        <v>1169.3800000000001</v>
      </c>
      <c r="J94">
        <v>3</v>
      </c>
      <c r="K94" s="2">
        <v>0.08</v>
      </c>
    </row>
    <row r="95" spans="1:11" x14ac:dyDescent="0.25">
      <c r="A95" t="s">
        <v>17</v>
      </c>
      <c r="B95" t="s">
        <v>29</v>
      </c>
      <c r="C95" s="1">
        <v>45383</v>
      </c>
      <c r="D95">
        <v>100</v>
      </c>
      <c r="E95">
        <v>7</v>
      </c>
      <c r="F95">
        <v>82.62</v>
      </c>
      <c r="G95">
        <v>6</v>
      </c>
      <c r="H95" s="2">
        <v>0.86</v>
      </c>
      <c r="I95">
        <v>4085.91</v>
      </c>
      <c r="J95">
        <v>2</v>
      </c>
      <c r="K95" s="2">
        <v>0.09</v>
      </c>
    </row>
    <row r="96" spans="1:11" x14ac:dyDescent="0.25">
      <c r="A96" t="s">
        <v>18</v>
      </c>
      <c r="B96" t="s">
        <v>29</v>
      </c>
      <c r="C96" s="1">
        <v>45383</v>
      </c>
      <c r="D96">
        <v>26</v>
      </c>
      <c r="E96">
        <v>17</v>
      </c>
      <c r="F96">
        <v>526.34</v>
      </c>
      <c r="G96">
        <v>6</v>
      </c>
      <c r="H96" s="2">
        <v>0.35</v>
      </c>
      <c r="I96">
        <v>3360.11</v>
      </c>
      <c r="J96">
        <v>1</v>
      </c>
      <c r="K96" s="2">
        <v>0.03</v>
      </c>
    </row>
    <row r="97" spans="1:11" x14ac:dyDescent="0.25">
      <c r="A97" t="s">
        <v>19</v>
      </c>
      <c r="B97" t="s">
        <v>29</v>
      </c>
      <c r="C97" s="1">
        <v>45383</v>
      </c>
      <c r="D97">
        <v>104</v>
      </c>
      <c r="E97">
        <v>22</v>
      </c>
      <c r="F97">
        <v>190.87</v>
      </c>
      <c r="G97">
        <v>4</v>
      </c>
      <c r="H97" s="2">
        <v>0.18</v>
      </c>
      <c r="I97">
        <v>433.41</v>
      </c>
      <c r="J97">
        <v>3</v>
      </c>
      <c r="K97" s="2">
        <v>0.09</v>
      </c>
    </row>
    <row r="98" spans="1:11" x14ac:dyDescent="0.25">
      <c r="A98" t="s">
        <v>20</v>
      </c>
      <c r="B98" t="s">
        <v>29</v>
      </c>
      <c r="C98" s="1">
        <v>45383</v>
      </c>
      <c r="D98">
        <v>63</v>
      </c>
      <c r="E98">
        <v>11</v>
      </c>
      <c r="F98">
        <v>554.51</v>
      </c>
      <c r="G98">
        <v>1</v>
      </c>
      <c r="H98" s="2">
        <v>0.09</v>
      </c>
      <c r="I98">
        <v>1138.51</v>
      </c>
      <c r="J98">
        <v>2</v>
      </c>
      <c r="K98" s="2">
        <v>0</v>
      </c>
    </row>
    <row r="99" spans="1:11" x14ac:dyDescent="0.25">
      <c r="A99" t="s">
        <v>21</v>
      </c>
      <c r="B99" t="s">
        <v>29</v>
      </c>
      <c r="C99" s="1">
        <v>45383</v>
      </c>
      <c r="D99">
        <v>22</v>
      </c>
      <c r="E99">
        <v>13</v>
      </c>
      <c r="F99">
        <v>302.49</v>
      </c>
      <c r="G99">
        <v>2</v>
      </c>
      <c r="H99" s="2">
        <v>0.15</v>
      </c>
      <c r="I99">
        <v>1591.45</v>
      </c>
      <c r="J99">
        <v>3</v>
      </c>
      <c r="K99" s="2">
        <v>0.05</v>
      </c>
    </row>
    <row r="100" spans="1:11" x14ac:dyDescent="0.25">
      <c r="A100" t="s">
        <v>22</v>
      </c>
      <c r="B100" t="s">
        <v>29</v>
      </c>
      <c r="C100" s="1">
        <v>45383</v>
      </c>
      <c r="D100">
        <v>91</v>
      </c>
      <c r="E100">
        <v>5</v>
      </c>
      <c r="F100">
        <v>605.11</v>
      </c>
      <c r="G100">
        <v>2</v>
      </c>
      <c r="H100" s="2">
        <v>0.4</v>
      </c>
      <c r="I100">
        <v>3499.88</v>
      </c>
      <c r="J100">
        <v>2</v>
      </c>
      <c r="K100" s="2">
        <v>0.03</v>
      </c>
    </row>
    <row r="101" spans="1:11" x14ac:dyDescent="0.25">
      <c r="A101" t="s">
        <v>23</v>
      </c>
      <c r="B101" t="s">
        <v>29</v>
      </c>
      <c r="C101" s="1">
        <v>45383</v>
      </c>
      <c r="D101">
        <v>77</v>
      </c>
      <c r="E101">
        <v>8</v>
      </c>
      <c r="F101">
        <v>173.88</v>
      </c>
      <c r="G101">
        <v>6</v>
      </c>
      <c r="H101" s="2">
        <v>0.75</v>
      </c>
      <c r="I101">
        <v>462.44</v>
      </c>
      <c r="J101">
        <v>1</v>
      </c>
      <c r="K101" s="2">
        <v>0.08</v>
      </c>
    </row>
    <row r="102" spans="1:11" x14ac:dyDescent="0.25">
      <c r="A102" t="s">
        <v>24</v>
      </c>
      <c r="B102" t="s">
        <v>29</v>
      </c>
      <c r="C102" s="1">
        <v>45383</v>
      </c>
      <c r="D102">
        <v>90</v>
      </c>
      <c r="E102">
        <v>17</v>
      </c>
      <c r="F102">
        <v>366.84</v>
      </c>
      <c r="G102">
        <v>0</v>
      </c>
      <c r="H102" s="2">
        <v>0</v>
      </c>
      <c r="I102">
        <v>3153.56</v>
      </c>
      <c r="J102">
        <v>3</v>
      </c>
      <c r="K102" s="2">
        <v>0.02</v>
      </c>
    </row>
    <row r="103" spans="1:11" x14ac:dyDescent="0.25">
      <c r="A103" t="s">
        <v>26</v>
      </c>
      <c r="B103" t="s">
        <v>29</v>
      </c>
      <c r="C103" s="1">
        <v>45383</v>
      </c>
      <c r="D103">
        <v>33</v>
      </c>
      <c r="E103">
        <v>9</v>
      </c>
      <c r="F103">
        <v>578.41999999999996</v>
      </c>
      <c r="G103">
        <v>4</v>
      </c>
      <c r="H103" s="2">
        <v>0.44</v>
      </c>
      <c r="I103">
        <v>229.72</v>
      </c>
      <c r="J103">
        <v>2</v>
      </c>
      <c r="K103" s="2">
        <v>7.0000000000000007E-2</v>
      </c>
    </row>
    <row r="104" spans="1:11" x14ac:dyDescent="0.25">
      <c r="A104" t="s">
        <v>27</v>
      </c>
      <c r="B104" t="s">
        <v>29</v>
      </c>
      <c r="C104" s="1">
        <v>45383</v>
      </c>
      <c r="D104">
        <v>42</v>
      </c>
      <c r="E104">
        <v>14</v>
      </c>
      <c r="F104">
        <v>321.29000000000002</v>
      </c>
      <c r="G104">
        <v>7</v>
      </c>
      <c r="H104" s="2">
        <v>0.5</v>
      </c>
      <c r="I104">
        <v>4298.2700000000004</v>
      </c>
      <c r="J104">
        <v>1</v>
      </c>
      <c r="K104" s="2">
        <v>7.0000000000000007E-2</v>
      </c>
    </row>
    <row r="105" spans="1:11" x14ac:dyDescent="0.25">
      <c r="A105" t="s">
        <v>0</v>
      </c>
      <c r="B105" t="s">
        <v>29</v>
      </c>
      <c r="C105" s="1">
        <v>45413</v>
      </c>
      <c r="D105">
        <v>69</v>
      </c>
      <c r="E105">
        <v>16</v>
      </c>
      <c r="F105">
        <v>299.22000000000003</v>
      </c>
      <c r="G105">
        <v>6</v>
      </c>
      <c r="H105" s="2">
        <v>0.38</v>
      </c>
      <c r="I105">
        <v>3716.14</v>
      </c>
      <c r="J105">
        <v>3</v>
      </c>
      <c r="K105" s="2">
        <v>0.03</v>
      </c>
    </row>
    <row r="106" spans="1:11" x14ac:dyDescent="0.25">
      <c r="A106" t="s">
        <v>2</v>
      </c>
      <c r="B106" t="s">
        <v>29</v>
      </c>
      <c r="C106" s="1">
        <v>45413</v>
      </c>
      <c r="D106">
        <v>68</v>
      </c>
      <c r="E106">
        <v>11</v>
      </c>
      <c r="F106">
        <v>345.62</v>
      </c>
      <c r="G106">
        <v>4</v>
      </c>
      <c r="H106" s="2">
        <v>0.36</v>
      </c>
      <c r="I106">
        <v>3558.13</v>
      </c>
      <c r="J106">
        <v>2</v>
      </c>
      <c r="K106" s="2">
        <v>0.04</v>
      </c>
    </row>
    <row r="107" spans="1:11" x14ac:dyDescent="0.25">
      <c r="A107" t="s">
        <v>3</v>
      </c>
      <c r="B107" t="s">
        <v>29</v>
      </c>
      <c r="C107" s="1">
        <v>45413</v>
      </c>
      <c r="D107">
        <v>45</v>
      </c>
      <c r="E107">
        <v>17</v>
      </c>
      <c r="F107">
        <v>416.96</v>
      </c>
      <c r="G107">
        <v>3</v>
      </c>
      <c r="H107" s="2">
        <v>0.18</v>
      </c>
      <c r="I107">
        <v>3327.07</v>
      </c>
      <c r="J107">
        <v>1</v>
      </c>
      <c r="K107" s="2">
        <v>0.04</v>
      </c>
    </row>
    <row r="108" spans="1:11" x14ac:dyDescent="0.25">
      <c r="A108" t="s">
        <v>4</v>
      </c>
      <c r="B108" t="s">
        <v>29</v>
      </c>
      <c r="C108" s="1">
        <v>45413</v>
      </c>
      <c r="D108">
        <v>17</v>
      </c>
      <c r="E108">
        <v>8</v>
      </c>
      <c r="F108">
        <v>72.05</v>
      </c>
      <c r="G108">
        <v>3</v>
      </c>
      <c r="H108" s="2">
        <v>0.38</v>
      </c>
      <c r="I108">
        <v>1672.82</v>
      </c>
      <c r="J108">
        <v>3</v>
      </c>
      <c r="K108" s="2">
        <v>0.03</v>
      </c>
    </row>
    <row r="109" spans="1:11" x14ac:dyDescent="0.25">
      <c r="A109" t="s">
        <v>5</v>
      </c>
      <c r="B109" t="s">
        <v>29</v>
      </c>
      <c r="C109" s="1">
        <v>45413</v>
      </c>
      <c r="D109">
        <v>85</v>
      </c>
      <c r="E109">
        <v>13</v>
      </c>
      <c r="F109">
        <v>475.61</v>
      </c>
      <c r="G109">
        <v>5</v>
      </c>
      <c r="H109" s="2">
        <v>0.38</v>
      </c>
      <c r="I109">
        <v>939.32</v>
      </c>
      <c r="J109">
        <v>2</v>
      </c>
      <c r="K109" s="2">
        <v>0.04</v>
      </c>
    </row>
    <row r="110" spans="1:11" x14ac:dyDescent="0.25">
      <c r="A110" t="s">
        <v>6</v>
      </c>
      <c r="B110" t="s">
        <v>29</v>
      </c>
      <c r="C110" s="1">
        <v>45413</v>
      </c>
      <c r="D110">
        <v>49</v>
      </c>
      <c r="E110">
        <v>7</v>
      </c>
      <c r="F110">
        <v>469.53</v>
      </c>
      <c r="G110">
        <v>3</v>
      </c>
      <c r="H110" s="2">
        <v>0.43</v>
      </c>
      <c r="I110">
        <v>3623.32</v>
      </c>
      <c r="J110">
        <v>1</v>
      </c>
      <c r="K110" s="2">
        <v>0.01</v>
      </c>
    </row>
    <row r="111" spans="1:11" x14ac:dyDescent="0.25">
      <c r="A111" t="s">
        <v>7</v>
      </c>
      <c r="B111" t="s">
        <v>29</v>
      </c>
      <c r="C111" s="1">
        <v>45413</v>
      </c>
      <c r="D111">
        <v>66</v>
      </c>
      <c r="E111">
        <v>15</v>
      </c>
      <c r="F111">
        <v>333.1</v>
      </c>
      <c r="G111">
        <v>2</v>
      </c>
      <c r="H111" s="2">
        <v>0.13</v>
      </c>
      <c r="I111">
        <v>2631.58</v>
      </c>
      <c r="J111">
        <v>1</v>
      </c>
      <c r="K111" s="2">
        <v>0.1</v>
      </c>
    </row>
    <row r="112" spans="1:11" x14ac:dyDescent="0.25">
      <c r="A112" t="s">
        <v>8</v>
      </c>
      <c r="B112" t="s">
        <v>29</v>
      </c>
      <c r="C112" s="1">
        <v>45413</v>
      </c>
      <c r="D112">
        <v>63</v>
      </c>
      <c r="E112">
        <v>9</v>
      </c>
      <c r="F112">
        <v>258.11</v>
      </c>
      <c r="G112">
        <v>7</v>
      </c>
      <c r="H112" s="2">
        <v>0.78</v>
      </c>
      <c r="I112">
        <v>4064.36</v>
      </c>
      <c r="J112">
        <v>3</v>
      </c>
      <c r="K112" s="2">
        <v>0.04</v>
      </c>
    </row>
    <row r="113" spans="1:11" x14ac:dyDescent="0.25">
      <c r="A113" t="s">
        <v>9</v>
      </c>
      <c r="B113" t="s">
        <v>29</v>
      </c>
      <c r="C113" s="1">
        <v>45413</v>
      </c>
      <c r="D113">
        <v>31</v>
      </c>
      <c r="E113">
        <v>20</v>
      </c>
      <c r="F113">
        <v>400.8</v>
      </c>
      <c r="G113">
        <v>8</v>
      </c>
      <c r="H113" s="2">
        <v>0.4</v>
      </c>
      <c r="I113">
        <v>1294.3599999999999</v>
      </c>
      <c r="J113">
        <v>2</v>
      </c>
      <c r="K113" s="2">
        <v>0.06</v>
      </c>
    </row>
    <row r="114" spans="1:11" x14ac:dyDescent="0.25">
      <c r="A114" t="s">
        <v>10</v>
      </c>
      <c r="B114" t="s">
        <v>29</v>
      </c>
      <c r="C114" s="1">
        <v>45413</v>
      </c>
      <c r="D114">
        <v>75</v>
      </c>
      <c r="E114">
        <v>19</v>
      </c>
      <c r="F114">
        <v>343.28</v>
      </c>
      <c r="G114">
        <v>9</v>
      </c>
      <c r="H114" s="2">
        <v>0.47</v>
      </c>
      <c r="I114">
        <v>899.46</v>
      </c>
      <c r="J114">
        <v>1</v>
      </c>
      <c r="K114" s="2">
        <v>0.03</v>
      </c>
    </row>
    <row r="115" spans="1:11" x14ac:dyDescent="0.25">
      <c r="A115" t="s">
        <v>11</v>
      </c>
      <c r="B115" t="s">
        <v>29</v>
      </c>
      <c r="C115" s="1">
        <v>45413</v>
      </c>
      <c r="D115">
        <v>18</v>
      </c>
      <c r="E115">
        <v>7</v>
      </c>
      <c r="F115">
        <v>204.63</v>
      </c>
      <c r="G115">
        <v>7</v>
      </c>
      <c r="H115" s="2">
        <v>1</v>
      </c>
      <c r="I115">
        <v>789.77</v>
      </c>
      <c r="J115">
        <v>3</v>
      </c>
      <c r="K115" s="2">
        <v>7.0000000000000007E-2</v>
      </c>
    </row>
    <row r="116" spans="1:11" x14ac:dyDescent="0.25">
      <c r="A116" t="s">
        <v>12</v>
      </c>
      <c r="B116" t="s">
        <v>29</v>
      </c>
      <c r="C116" s="1">
        <v>45413</v>
      </c>
      <c r="D116">
        <v>35</v>
      </c>
      <c r="E116">
        <v>6</v>
      </c>
      <c r="F116">
        <v>553.11</v>
      </c>
      <c r="G116">
        <v>4</v>
      </c>
      <c r="H116" s="2">
        <v>0.67</v>
      </c>
      <c r="I116">
        <v>3867.67</v>
      </c>
      <c r="J116">
        <v>2</v>
      </c>
      <c r="K116" s="2">
        <v>0.04</v>
      </c>
    </row>
    <row r="117" spans="1:11" x14ac:dyDescent="0.25">
      <c r="A117" t="s">
        <v>13</v>
      </c>
      <c r="B117" t="s">
        <v>29</v>
      </c>
      <c r="C117" s="1">
        <v>45413</v>
      </c>
      <c r="D117">
        <v>74</v>
      </c>
      <c r="E117">
        <v>20</v>
      </c>
      <c r="F117">
        <v>623.33000000000004</v>
      </c>
      <c r="G117">
        <v>2</v>
      </c>
      <c r="H117" s="2">
        <v>0.1</v>
      </c>
      <c r="I117">
        <v>359.97</v>
      </c>
      <c r="J117">
        <v>1</v>
      </c>
      <c r="K117" s="2">
        <v>0.04</v>
      </c>
    </row>
    <row r="118" spans="1:11" x14ac:dyDescent="0.25">
      <c r="A118" t="s">
        <v>14</v>
      </c>
      <c r="B118" t="s">
        <v>29</v>
      </c>
      <c r="C118" s="1">
        <v>45413</v>
      </c>
      <c r="D118">
        <v>26</v>
      </c>
      <c r="E118">
        <v>7</v>
      </c>
      <c r="F118">
        <v>200.45</v>
      </c>
      <c r="G118">
        <v>1</v>
      </c>
      <c r="H118" s="2">
        <v>0.14000000000000001</v>
      </c>
      <c r="I118">
        <v>3797.35</v>
      </c>
      <c r="J118">
        <v>3</v>
      </c>
      <c r="K118" s="2">
        <v>0.04</v>
      </c>
    </row>
    <row r="119" spans="1:11" x14ac:dyDescent="0.25">
      <c r="A119" t="s">
        <v>15</v>
      </c>
      <c r="B119" t="s">
        <v>29</v>
      </c>
      <c r="C119" s="1">
        <v>45413</v>
      </c>
      <c r="D119">
        <v>50</v>
      </c>
      <c r="E119">
        <v>7</v>
      </c>
      <c r="F119">
        <v>196.2</v>
      </c>
      <c r="G119">
        <v>2</v>
      </c>
      <c r="H119" s="2">
        <v>0.28999999999999998</v>
      </c>
      <c r="I119">
        <v>592.71</v>
      </c>
      <c r="J119">
        <v>2</v>
      </c>
      <c r="K119" s="2">
        <v>0.03</v>
      </c>
    </row>
    <row r="120" spans="1:11" x14ac:dyDescent="0.25">
      <c r="A120" t="s">
        <v>16</v>
      </c>
      <c r="B120" t="s">
        <v>29</v>
      </c>
      <c r="C120" s="1">
        <v>45413</v>
      </c>
      <c r="D120">
        <v>97</v>
      </c>
      <c r="E120">
        <v>5</v>
      </c>
      <c r="F120">
        <v>185.62</v>
      </c>
      <c r="G120">
        <v>4</v>
      </c>
      <c r="H120" s="2">
        <v>0.8</v>
      </c>
      <c r="I120">
        <v>1282.81</v>
      </c>
      <c r="J120">
        <v>1</v>
      </c>
      <c r="K120" s="2">
        <v>7.0000000000000007E-2</v>
      </c>
    </row>
    <row r="121" spans="1:11" x14ac:dyDescent="0.25">
      <c r="A121" t="s">
        <v>17</v>
      </c>
      <c r="B121" t="s">
        <v>29</v>
      </c>
      <c r="C121" s="1">
        <v>45413</v>
      </c>
      <c r="D121">
        <v>91</v>
      </c>
      <c r="E121">
        <v>7</v>
      </c>
      <c r="F121">
        <v>89.39</v>
      </c>
      <c r="G121">
        <v>6</v>
      </c>
      <c r="H121" s="2">
        <v>0.86</v>
      </c>
      <c r="I121">
        <v>3971.59</v>
      </c>
      <c r="J121">
        <v>3</v>
      </c>
      <c r="K121" s="2">
        <v>0.09</v>
      </c>
    </row>
    <row r="122" spans="1:11" x14ac:dyDescent="0.25">
      <c r="A122" t="s">
        <v>18</v>
      </c>
      <c r="B122" t="s">
        <v>29</v>
      </c>
      <c r="C122" s="1">
        <v>45413</v>
      </c>
      <c r="D122">
        <v>21</v>
      </c>
      <c r="E122">
        <v>14</v>
      </c>
      <c r="F122">
        <v>472.79</v>
      </c>
      <c r="G122">
        <v>8</v>
      </c>
      <c r="H122" s="2">
        <v>0.56999999999999995</v>
      </c>
      <c r="I122">
        <v>3830.32</v>
      </c>
      <c r="J122">
        <v>2</v>
      </c>
      <c r="K122" s="2">
        <v>0.04</v>
      </c>
    </row>
    <row r="123" spans="1:11" x14ac:dyDescent="0.25">
      <c r="A123" t="s">
        <v>19</v>
      </c>
      <c r="B123" t="s">
        <v>29</v>
      </c>
      <c r="C123" s="1">
        <v>45413</v>
      </c>
      <c r="D123">
        <v>91</v>
      </c>
      <c r="E123">
        <v>15</v>
      </c>
      <c r="F123">
        <v>173.03</v>
      </c>
      <c r="G123">
        <v>4</v>
      </c>
      <c r="H123" s="2">
        <v>0.27</v>
      </c>
      <c r="I123">
        <v>386.08</v>
      </c>
      <c r="J123">
        <v>1</v>
      </c>
      <c r="K123" s="2">
        <v>0.1</v>
      </c>
    </row>
    <row r="124" spans="1:11" x14ac:dyDescent="0.25">
      <c r="A124" t="s">
        <v>20</v>
      </c>
      <c r="B124" t="s">
        <v>29</v>
      </c>
      <c r="C124" s="1">
        <v>45413</v>
      </c>
      <c r="D124">
        <v>67</v>
      </c>
      <c r="E124">
        <v>15</v>
      </c>
      <c r="F124">
        <v>499.68</v>
      </c>
      <c r="G124">
        <v>0</v>
      </c>
      <c r="H124" s="2">
        <v>0</v>
      </c>
      <c r="I124">
        <v>1287.1300000000001</v>
      </c>
      <c r="J124">
        <v>3</v>
      </c>
      <c r="K124" s="2">
        <v>0</v>
      </c>
    </row>
    <row r="125" spans="1:11" x14ac:dyDescent="0.25">
      <c r="A125" t="s">
        <v>21</v>
      </c>
      <c r="B125" t="s">
        <v>29</v>
      </c>
      <c r="C125" s="1">
        <v>45413</v>
      </c>
      <c r="D125">
        <v>19</v>
      </c>
      <c r="E125">
        <v>13</v>
      </c>
      <c r="F125">
        <v>316.23</v>
      </c>
      <c r="G125">
        <v>1</v>
      </c>
      <c r="H125" s="2">
        <v>0.08</v>
      </c>
      <c r="I125">
        <v>1598.49</v>
      </c>
      <c r="J125">
        <v>2</v>
      </c>
      <c r="K125" s="2">
        <v>0.06</v>
      </c>
    </row>
    <row r="126" spans="1:11" x14ac:dyDescent="0.25">
      <c r="A126" t="s">
        <v>22</v>
      </c>
      <c r="B126" t="s">
        <v>29</v>
      </c>
      <c r="C126" s="1">
        <v>45413</v>
      </c>
      <c r="D126">
        <v>105</v>
      </c>
      <c r="E126">
        <v>6</v>
      </c>
      <c r="F126">
        <v>567.03</v>
      </c>
      <c r="G126">
        <v>1</v>
      </c>
      <c r="H126" s="2">
        <v>0.17</v>
      </c>
      <c r="I126">
        <v>3496.65</v>
      </c>
      <c r="J126">
        <v>1</v>
      </c>
      <c r="K126" s="2">
        <v>0.03</v>
      </c>
    </row>
    <row r="127" spans="1:11" x14ac:dyDescent="0.25">
      <c r="A127" t="s">
        <v>23</v>
      </c>
      <c r="B127" t="s">
        <v>29</v>
      </c>
      <c r="C127" s="1">
        <v>45413</v>
      </c>
      <c r="D127">
        <v>73</v>
      </c>
      <c r="E127">
        <v>8</v>
      </c>
      <c r="F127">
        <v>175.52</v>
      </c>
      <c r="G127">
        <v>7</v>
      </c>
      <c r="H127" s="2">
        <v>0.88</v>
      </c>
      <c r="I127">
        <v>455.32</v>
      </c>
      <c r="J127">
        <v>3</v>
      </c>
      <c r="K127" s="2">
        <v>0.09</v>
      </c>
    </row>
    <row r="128" spans="1:11" x14ac:dyDescent="0.25">
      <c r="A128" t="s">
        <v>24</v>
      </c>
      <c r="B128" t="s">
        <v>29</v>
      </c>
      <c r="C128" s="1">
        <v>45413</v>
      </c>
      <c r="D128">
        <v>111</v>
      </c>
      <c r="E128">
        <v>13</v>
      </c>
      <c r="F128">
        <v>358.31</v>
      </c>
      <c r="G128">
        <v>0</v>
      </c>
      <c r="H128" s="2">
        <v>0</v>
      </c>
      <c r="I128">
        <v>2811.77</v>
      </c>
      <c r="J128">
        <v>2</v>
      </c>
      <c r="K128" s="2">
        <v>0.03</v>
      </c>
    </row>
    <row r="129" spans="1:11" x14ac:dyDescent="0.25">
      <c r="A129" t="s">
        <v>26</v>
      </c>
      <c r="B129" t="s">
        <v>29</v>
      </c>
      <c r="C129" s="1">
        <v>45413</v>
      </c>
      <c r="D129">
        <v>38</v>
      </c>
      <c r="E129">
        <v>12</v>
      </c>
      <c r="F129">
        <v>556.33000000000004</v>
      </c>
      <c r="G129">
        <v>4</v>
      </c>
      <c r="H129" s="2">
        <v>0.33</v>
      </c>
      <c r="I129">
        <v>241.08</v>
      </c>
      <c r="J129">
        <v>1</v>
      </c>
      <c r="K129" s="2">
        <v>7.0000000000000007E-2</v>
      </c>
    </row>
    <row r="130" spans="1:11" x14ac:dyDescent="0.25">
      <c r="A130" t="s">
        <v>27</v>
      </c>
      <c r="B130" t="s">
        <v>29</v>
      </c>
      <c r="C130" s="1">
        <v>45413</v>
      </c>
      <c r="D130">
        <v>33</v>
      </c>
      <c r="E130">
        <v>17</v>
      </c>
      <c r="F130">
        <v>371.65</v>
      </c>
      <c r="G130">
        <v>9</v>
      </c>
      <c r="H130" s="2">
        <v>0.53</v>
      </c>
      <c r="I130">
        <v>4068.75</v>
      </c>
      <c r="J130">
        <v>3</v>
      </c>
      <c r="K130" s="2">
        <v>0.09</v>
      </c>
    </row>
    <row r="131" spans="1:11" x14ac:dyDescent="0.25">
      <c r="A131" t="s">
        <v>0</v>
      </c>
      <c r="B131" t="s">
        <v>29</v>
      </c>
      <c r="C131" s="1">
        <v>45444</v>
      </c>
      <c r="D131">
        <v>59</v>
      </c>
      <c r="E131">
        <v>16</v>
      </c>
      <c r="F131">
        <v>359.47</v>
      </c>
      <c r="G131">
        <v>7</v>
      </c>
      <c r="H131" s="2">
        <v>0.44</v>
      </c>
      <c r="I131">
        <v>3958.94</v>
      </c>
      <c r="J131">
        <v>2</v>
      </c>
      <c r="K131" s="2">
        <v>0.02</v>
      </c>
    </row>
    <row r="132" spans="1:11" x14ac:dyDescent="0.25">
      <c r="A132" t="s">
        <v>2</v>
      </c>
      <c r="B132" t="s">
        <v>29</v>
      </c>
      <c r="C132" s="1">
        <v>45444</v>
      </c>
      <c r="D132">
        <v>71</v>
      </c>
      <c r="E132">
        <v>11</v>
      </c>
      <c r="F132">
        <v>379.33</v>
      </c>
      <c r="G132">
        <v>4</v>
      </c>
      <c r="H132" s="2">
        <v>0.36</v>
      </c>
      <c r="I132">
        <v>4003.52</v>
      </c>
      <c r="J132">
        <v>1</v>
      </c>
      <c r="K132" s="2">
        <v>0.04</v>
      </c>
    </row>
    <row r="133" spans="1:11" x14ac:dyDescent="0.25">
      <c r="A133" t="s">
        <v>3</v>
      </c>
      <c r="B133" t="s">
        <v>29</v>
      </c>
      <c r="C133" s="1">
        <v>45444</v>
      </c>
      <c r="D133">
        <v>48</v>
      </c>
      <c r="E133">
        <v>14</v>
      </c>
      <c r="F133">
        <v>383.94</v>
      </c>
      <c r="G133">
        <v>3</v>
      </c>
      <c r="H133" s="2">
        <v>0.21</v>
      </c>
      <c r="I133">
        <v>3173.36</v>
      </c>
      <c r="J133">
        <v>3</v>
      </c>
      <c r="K133" s="2">
        <v>0.04</v>
      </c>
    </row>
    <row r="134" spans="1:11" x14ac:dyDescent="0.25">
      <c r="A134" t="s">
        <v>4</v>
      </c>
      <c r="B134" t="s">
        <v>29</v>
      </c>
      <c r="C134" s="1">
        <v>45444</v>
      </c>
      <c r="D134">
        <v>18</v>
      </c>
      <c r="E134">
        <v>7</v>
      </c>
      <c r="F134">
        <v>85.32</v>
      </c>
      <c r="G134">
        <v>3</v>
      </c>
      <c r="H134" s="2">
        <v>0.43</v>
      </c>
      <c r="I134">
        <v>1431.69</v>
      </c>
      <c r="J134">
        <v>2</v>
      </c>
      <c r="K134" s="2">
        <v>0.03</v>
      </c>
    </row>
    <row r="135" spans="1:11" x14ac:dyDescent="0.25">
      <c r="A135" t="s">
        <v>5</v>
      </c>
      <c r="B135" t="s">
        <v>29</v>
      </c>
      <c r="C135" s="1">
        <v>45444</v>
      </c>
      <c r="D135">
        <v>93</v>
      </c>
      <c r="E135">
        <v>14</v>
      </c>
      <c r="F135">
        <v>466.81</v>
      </c>
      <c r="G135">
        <v>5</v>
      </c>
      <c r="H135" s="2">
        <v>0.36</v>
      </c>
      <c r="I135">
        <v>988.98</v>
      </c>
      <c r="J135">
        <v>1</v>
      </c>
      <c r="K135" s="2">
        <v>0.04</v>
      </c>
    </row>
    <row r="136" spans="1:11" x14ac:dyDescent="0.25">
      <c r="A136" t="s">
        <v>6</v>
      </c>
      <c r="B136" t="s">
        <v>30</v>
      </c>
      <c r="C136" s="1">
        <v>45444</v>
      </c>
      <c r="D136">
        <v>49</v>
      </c>
      <c r="E136">
        <v>7</v>
      </c>
      <c r="F136">
        <v>512.88</v>
      </c>
      <c r="G136">
        <v>2</v>
      </c>
      <c r="H136" s="2">
        <v>0.28999999999999998</v>
      </c>
      <c r="I136">
        <v>3545.66</v>
      </c>
      <c r="J136">
        <v>1</v>
      </c>
      <c r="K136" s="2">
        <v>0.01</v>
      </c>
    </row>
    <row r="137" spans="1:11" x14ac:dyDescent="0.25">
      <c r="A137" t="s">
        <v>7</v>
      </c>
      <c r="B137" t="s">
        <v>30</v>
      </c>
      <c r="C137" s="1">
        <v>45444</v>
      </c>
      <c r="D137">
        <v>85</v>
      </c>
      <c r="E137">
        <v>17</v>
      </c>
      <c r="F137">
        <v>324.56</v>
      </c>
      <c r="G137">
        <v>3</v>
      </c>
      <c r="H137" s="2">
        <v>0.18</v>
      </c>
      <c r="I137">
        <v>2420.5300000000002</v>
      </c>
      <c r="J137">
        <v>3</v>
      </c>
      <c r="K137" s="2">
        <v>0.09</v>
      </c>
    </row>
    <row r="138" spans="1:11" x14ac:dyDescent="0.25">
      <c r="A138" t="s">
        <v>8</v>
      </c>
      <c r="B138" t="s">
        <v>30</v>
      </c>
      <c r="C138" s="1">
        <v>45444</v>
      </c>
      <c r="D138">
        <v>61</v>
      </c>
      <c r="E138">
        <v>7</v>
      </c>
      <c r="F138">
        <v>219.53</v>
      </c>
      <c r="G138">
        <v>7</v>
      </c>
      <c r="H138" s="2">
        <v>1</v>
      </c>
      <c r="I138">
        <v>3860.12</v>
      </c>
      <c r="J138">
        <v>2</v>
      </c>
      <c r="K138" s="2">
        <v>0.04</v>
      </c>
    </row>
    <row r="139" spans="1:11" x14ac:dyDescent="0.25">
      <c r="A139" t="s">
        <v>9</v>
      </c>
      <c r="B139" t="s">
        <v>30</v>
      </c>
      <c r="C139" s="1">
        <v>45444</v>
      </c>
      <c r="D139">
        <v>30</v>
      </c>
      <c r="E139">
        <v>16</v>
      </c>
      <c r="F139">
        <v>353.65</v>
      </c>
      <c r="G139">
        <v>9</v>
      </c>
      <c r="H139" s="2">
        <v>0.56000000000000005</v>
      </c>
      <c r="I139">
        <v>1213.5899999999999</v>
      </c>
      <c r="J139">
        <v>1</v>
      </c>
      <c r="K139" s="2">
        <v>0.06</v>
      </c>
    </row>
    <row r="140" spans="1:11" x14ac:dyDescent="0.25">
      <c r="A140" t="s">
        <v>10</v>
      </c>
      <c r="B140" t="s">
        <v>30</v>
      </c>
      <c r="C140" s="1">
        <v>45444</v>
      </c>
      <c r="D140">
        <v>54</v>
      </c>
      <c r="E140">
        <v>16</v>
      </c>
      <c r="F140">
        <v>334.41</v>
      </c>
      <c r="G140">
        <v>9</v>
      </c>
      <c r="H140" s="2">
        <v>0.56000000000000005</v>
      </c>
      <c r="I140">
        <v>1056.98</v>
      </c>
      <c r="J140">
        <v>3</v>
      </c>
      <c r="K140" s="2">
        <v>0.04</v>
      </c>
    </row>
    <row r="141" spans="1:11" x14ac:dyDescent="0.25">
      <c r="A141" t="s">
        <v>11</v>
      </c>
      <c r="B141" t="s">
        <v>30</v>
      </c>
      <c r="C141" s="1">
        <v>45444</v>
      </c>
      <c r="D141">
        <v>19</v>
      </c>
      <c r="E141">
        <v>7</v>
      </c>
      <c r="F141">
        <v>199.46</v>
      </c>
      <c r="G141">
        <v>7</v>
      </c>
      <c r="H141" s="2">
        <v>1</v>
      </c>
      <c r="I141">
        <v>809.56</v>
      </c>
      <c r="J141">
        <v>2</v>
      </c>
      <c r="K141" s="2">
        <v>7.0000000000000007E-2</v>
      </c>
    </row>
    <row r="142" spans="1:11" x14ac:dyDescent="0.25">
      <c r="A142" t="s">
        <v>12</v>
      </c>
      <c r="B142" t="s">
        <v>30</v>
      </c>
      <c r="C142" s="1">
        <v>45444</v>
      </c>
      <c r="D142">
        <v>40</v>
      </c>
      <c r="E142">
        <v>6</v>
      </c>
      <c r="F142">
        <v>509.67</v>
      </c>
      <c r="G142">
        <v>4</v>
      </c>
      <c r="H142" s="2">
        <v>0.67</v>
      </c>
      <c r="I142">
        <v>3330.44</v>
      </c>
      <c r="J142">
        <v>1</v>
      </c>
      <c r="K142" s="2">
        <v>0.04</v>
      </c>
    </row>
    <row r="143" spans="1:11" x14ac:dyDescent="0.25">
      <c r="A143" t="s">
        <v>13</v>
      </c>
      <c r="B143" t="s">
        <v>30</v>
      </c>
      <c r="C143" s="1">
        <v>45444</v>
      </c>
      <c r="D143">
        <v>73</v>
      </c>
      <c r="E143">
        <v>21</v>
      </c>
      <c r="F143">
        <v>601.02</v>
      </c>
      <c r="G143">
        <v>2</v>
      </c>
      <c r="H143" s="2">
        <v>0.1</v>
      </c>
      <c r="I143">
        <v>364.56</v>
      </c>
      <c r="J143">
        <v>3</v>
      </c>
      <c r="K143" s="2">
        <v>0.03</v>
      </c>
    </row>
    <row r="144" spans="1:11" x14ac:dyDescent="0.25">
      <c r="A144" t="s">
        <v>14</v>
      </c>
      <c r="B144" t="s">
        <v>30</v>
      </c>
      <c r="C144" s="1">
        <v>45444</v>
      </c>
      <c r="D144">
        <v>36</v>
      </c>
      <c r="E144">
        <v>9</v>
      </c>
      <c r="F144">
        <v>196.74</v>
      </c>
      <c r="G144">
        <v>1</v>
      </c>
      <c r="H144" s="2">
        <v>0.11</v>
      </c>
      <c r="I144">
        <v>3760.57</v>
      </c>
      <c r="J144">
        <v>2</v>
      </c>
      <c r="K144" s="2">
        <v>0.04</v>
      </c>
    </row>
    <row r="145" spans="1:11" x14ac:dyDescent="0.25">
      <c r="A145" t="s">
        <v>15</v>
      </c>
      <c r="B145" t="s">
        <v>30</v>
      </c>
      <c r="C145" s="1">
        <v>45444</v>
      </c>
      <c r="D145">
        <v>58</v>
      </c>
      <c r="E145">
        <v>8</v>
      </c>
      <c r="F145">
        <v>196.58</v>
      </c>
      <c r="G145">
        <v>3</v>
      </c>
      <c r="H145" s="2">
        <v>0.38</v>
      </c>
      <c r="I145">
        <v>692.47</v>
      </c>
      <c r="J145">
        <v>1</v>
      </c>
      <c r="K145" s="2">
        <v>0.03</v>
      </c>
    </row>
    <row r="146" spans="1:11" x14ac:dyDescent="0.25">
      <c r="A146" t="s">
        <v>16</v>
      </c>
      <c r="B146" t="s">
        <v>30</v>
      </c>
      <c r="C146" s="1">
        <v>45444</v>
      </c>
      <c r="D146">
        <v>100</v>
      </c>
      <c r="E146">
        <v>5</v>
      </c>
      <c r="F146">
        <v>153.87</v>
      </c>
      <c r="G146">
        <v>2</v>
      </c>
      <c r="H146" s="2">
        <v>0.4</v>
      </c>
      <c r="I146">
        <v>1190.24</v>
      </c>
      <c r="J146">
        <v>3</v>
      </c>
      <c r="K146" s="2">
        <v>0.08</v>
      </c>
    </row>
    <row r="147" spans="1:11" x14ac:dyDescent="0.25">
      <c r="A147" t="s">
        <v>17</v>
      </c>
      <c r="B147" t="s">
        <v>30</v>
      </c>
      <c r="C147" s="1">
        <v>45444</v>
      </c>
      <c r="D147">
        <v>93</v>
      </c>
      <c r="E147">
        <v>5</v>
      </c>
      <c r="F147">
        <v>85.65</v>
      </c>
      <c r="G147">
        <v>5</v>
      </c>
      <c r="H147" s="2">
        <v>1</v>
      </c>
      <c r="I147">
        <v>3913.17</v>
      </c>
      <c r="J147">
        <v>2</v>
      </c>
      <c r="K147" s="2">
        <v>0.1</v>
      </c>
    </row>
    <row r="148" spans="1:11" x14ac:dyDescent="0.25">
      <c r="A148" t="s">
        <v>18</v>
      </c>
      <c r="B148" t="s">
        <v>30</v>
      </c>
      <c r="C148" s="1">
        <v>45444</v>
      </c>
      <c r="D148">
        <v>28</v>
      </c>
      <c r="E148">
        <v>16</v>
      </c>
      <c r="F148">
        <v>506.95</v>
      </c>
      <c r="G148">
        <v>6</v>
      </c>
      <c r="H148" s="2">
        <v>0.38</v>
      </c>
      <c r="I148">
        <v>3993.03</v>
      </c>
      <c r="J148">
        <v>3</v>
      </c>
      <c r="K148" s="2">
        <v>0.03</v>
      </c>
    </row>
    <row r="149" spans="1:11" x14ac:dyDescent="0.25">
      <c r="A149" t="s">
        <v>19</v>
      </c>
      <c r="B149" t="s">
        <v>30</v>
      </c>
      <c r="C149" s="1">
        <v>45444</v>
      </c>
      <c r="D149">
        <v>88</v>
      </c>
      <c r="E149">
        <v>18</v>
      </c>
      <c r="F149">
        <v>181.21</v>
      </c>
      <c r="G149">
        <v>4</v>
      </c>
      <c r="H149" s="2">
        <v>0.22</v>
      </c>
      <c r="I149">
        <v>377.13</v>
      </c>
      <c r="J149">
        <v>2</v>
      </c>
      <c r="K149" s="2">
        <v>0.1</v>
      </c>
    </row>
    <row r="150" spans="1:11" x14ac:dyDescent="0.25">
      <c r="A150" t="s">
        <v>20</v>
      </c>
      <c r="B150" t="s">
        <v>30</v>
      </c>
      <c r="C150" s="1">
        <v>45444</v>
      </c>
      <c r="D150">
        <v>69</v>
      </c>
      <c r="E150">
        <v>16</v>
      </c>
      <c r="F150">
        <v>495.32</v>
      </c>
      <c r="G150">
        <v>0</v>
      </c>
      <c r="H150" s="2">
        <v>0</v>
      </c>
      <c r="I150">
        <v>1262.99</v>
      </c>
      <c r="J150">
        <v>1</v>
      </c>
      <c r="K150" s="2">
        <v>0</v>
      </c>
    </row>
    <row r="151" spans="1:11" x14ac:dyDescent="0.25">
      <c r="A151" t="s">
        <v>21</v>
      </c>
      <c r="B151" t="s">
        <v>30</v>
      </c>
      <c r="C151" s="1">
        <v>45444</v>
      </c>
      <c r="D151">
        <v>21</v>
      </c>
      <c r="E151">
        <v>16</v>
      </c>
      <c r="F151">
        <v>315.91000000000003</v>
      </c>
      <c r="G151">
        <v>1</v>
      </c>
      <c r="H151" s="2">
        <v>0.06</v>
      </c>
      <c r="I151">
        <v>1455.83</v>
      </c>
      <c r="J151">
        <v>3</v>
      </c>
      <c r="K151" s="2">
        <v>0.05</v>
      </c>
    </row>
    <row r="152" spans="1:11" x14ac:dyDescent="0.25">
      <c r="A152" t="s">
        <v>22</v>
      </c>
      <c r="B152" t="s">
        <v>30</v>
      </c>
      <c r="C152" s="1">
        <v>45444</v>
      </c>
      <c r="D152">
        <v>92</v>
      </c>
      <c r="E152">
        <v>5</v>
      </c>
      <c r="F152">
        <v>569.75</v>
      </c>
      <c r="G152">
        <v>2</v>
      </c>
      <c r="H152" s="2">
        <v>0.4</v>
      </c>
      <c r="I152">
        <v>3734.43</v>
      </c>
      <c r="J152">
        <v>2</v>
      </c>
      <c r="K152" s="2">
        <v>0.03</v>
      </c>
    </row>
    <row r="153" spans="1:11" x14ac:dyDescent="0.25">
      <c r="A153" t="s">
        <v>23</v>
      </c>
      <c r="B153" t="s">
        <v>30</v>
      </c>
      <c r="C153" s="1">
        <v>45444</v>
      </c>
      <c r="D153">
        <v>58</v>
      </c>
      <c r="E153">
        <v>7</v>
      </c>
      <c r="F153">
        <v>173.24</v>
      </c>
      <c r="G153">
        <v>7</v>
      </c>
      <c r="H153" s="2">
        <v>1</v>
      </c>
      <c r="I153">
        <v>525.73</v>
      </c>
      <c r="J153">
        <v>1</v>
      </c>
      <c r="K153" s="2">
        <v>0.08</v>
      </c>
    </row>
    <row r="154" spans="1:11" x14ac:dyDescent="0.25">
      <c r="A154" t="s">
        <v>24</v>
      </c>
      <c r="B154" t="s">
        <v>30</v>
      </c>
      <c r="C154" s="1">
        <v>45444</v>
      </c>
      <c r="D154">
        <v>114</v>
      </c>
      <c r="E154">
        <v>13</v>
      </c>
      <c r="F154">
        <v>364.35</v>
      </c>
      <c r="G154">
        <v>0</v>
      </c>
      <c r="H154" s="2">
        <v>0</v>
      </c>
      <c r="I154">
        <v>2988.28</v>
      </c>
      <c r="J154">
        <v>3</v>
      </c>
      <c r="K154" s="2">
        <v>0.03</v>
      </c>
    </row>
    <row r="155" spans="1:11" x14ac:dyDescent="0.25">
      <c r="A155" t="s">
        <v>26</v>
      </c>
      <c r="B155" t="s">
        <v>30</v>
      </c>
      <c r="C155" s="1">
        <v>45444</v>
      </c>
      <c r="D155">
        <v>35</v>
      </c>
      <c r="E155">
        <v>12</v>
      </c>
      <c r="F155">
        <v>515.24</v>
      </c>
      <c r="G155">
        <v>5</v>
      </c>
      <c r="H155" s="2">
        <v>0.42</v>
      </c>
      <c r="I155">
        <v>224.24</v>
      </c>
      <c r="J155">
        <v>2</v>
      </c>
      <c r="K155" s="2">
        <v>7.0000000000000007E-2</v>
      </c>
    </row>
    <row r="156" spans="1:11" x14ac:dyDescent="0.25">
      <c r="A156" t="s">
        <v>27</v>
      </c>
      <c r="B156" t="s">
        <v>30</v>
      </c>
      <c r="C156" s="1">
        <v>45444</v>
      </c>
      <c r="D156">
        <v>35</v>
      </c>
      <c r="E156">
        <v>16</v>
      </c>
      <c r="F156">
        <v>351.71</v>
      </c>
      <c r="G156">
        <v>9</v>
      </c>
      <c r="H156" s="2">
        <v>0.56000000000000005</v>
      </c>
      <c r="I156">
        <v>3984.69</v>
      </c>
      <c r="J156">
        <v>1</v>
      </c>
      <c r="K156" s="2">
        <v>7.0000000000000007E-2</v>
      </c>
    </row>
    <row r="157" spans="1:11" x14ac:dyDescent="0.25">
      <c r="A157" t="s">
        <v>0</v>
      </c>
      <c r="B157" t="s">
        <v>30</v>
      </c>
      <c r="C157" s="1">
        <v>45474</v>
      </c>
      <c r="D157">
        <v>71</v>
      </c>
      <c r="E157">
        <v>17</v>
      </c>
      <c r="F157">
        <v>360.1</v>
      </c>
      <c r="G157">
        <v>6</v>
      </c>
      <c r="H157" s="2">
        <v>0.35</v>
      </c>
      <c r="I157">
        <v>4444.83</v>
      </c>
      <c r="J157">
        <v>3</v>
      </c>
      <c r="K157" s="2">
        <v>0.03</v>
      </c>
    </row>
    <row r="158" spans="1:11" x14ac:dyDescent="0.25">
      <c r="A158" t="s">
        <v>2</v>
      </c>
      <c r="B158" t="s">
        <v>30</v>
      </c>
      <c r="C158" s="1">
        <v>45474</v>
      </c>
      <c r="D158">
        <v>62</v>
      </c>
      <c r="E158">
        <v>13</v>
      </c>
      <c r="F158">
        <v>364.64</v>
      </c>
      <c r="G158">
        <v>4</v>
      </c>
      <c r="H158" s="2">
        <v>0.31</v>
      </c>
      <c r="I158">
        <v>3704.33</v>
      </c>
      <c r="J158">
        <v>2</v>
      </c>
      <c r="K158" s="2">
        <v>0.04</v>
      </c>
    </row>
    <row r="159" spans="1:11" x14ac:dyDescent="0.25">
      <c r="A159" t="s">
        <v>3</v>
      </c>
      <c r="B159" t="s">
        <v>30</v>
      </c>
      <c r="C159" s="1">
        <v>45474</v>
      </c>
      <c r="D159">
        <v>53</v>
      </c>
      <c r="E159">
        <v>14</v>
      </c>
      <c r="F159">
        <v>367.56</v>
      </c>
      <c r="G159">
        <v>2</v>
      </c>
      <c r="H159" s="2">
        <v>0.14000000000000001</v>
      </c>
      <c r="I159">
        <v>3514.07</v>
      </c>
      <c r="J159">
        <v>1</v>
      </c>
      <c r="K159" s="2">
        <v>0.04</v>
      </c>
    </row>
    <row r="160" spans="1:11" x14ac:dyDescent="0.25">
      <c r="A160" t="s">
        <v>4</v>
      </c>
      <c r="B160" t="s">
        <v>30</v>
      </c>
      <c r="C160" s="1">
        <v>45474</v>
      </c>
      <c r="D160">
        <v>18</v>
      </c>
      <c r="E160">
        <v>6</v>
      </c>
      <c r="F160">
        <v>76.27</v>
      </c>
      <c r="G160">
        <v>4</v>
      </c>
      <c r="H160" s="2">
        <v>0.67</v>
      </c>
      <c r="I160">
        <v>1597.98</v>
      </c>
      <c r="J160">
        <v>1</v>
      </c>
      <c r="K160" s="2">
        <v>0.03</v>
      </c>
    </row>
    <row r="161" spans="1:11" x14ac:dyDescent="0.25">
      <c r="A161" t="s">
        <v>5</v>
      </c>
      <c r="B161" t="s">
        <v>30</v>
      </c>
      <c r="C161" s="1">
        <v>45474</v>
      </c>
      <c r="D161">
        <v>71</v>
      </c>
      <c r="E161">
        <v>12</v>
      </c>
      <c r="F161">
        <v>487.04</v>
      </c>
      <c r="G161">
        <v>5</v>
      </c>
      <c r="H161" s="2">
        <v>0.42</v>
      </c>
      <c r="I161">
        <v>1004.9</v>
      </c>
      <c r="J161">
        <v>3</v>
      </c>
      <c r="K161" s="2">
        <v>0.04</v>
      </c>
    </row>
    <row r="162" spans="1:11" x14ac:dyDescent="0.25">
      <c r="A162" t="s">
        <v>6</v>
      </c>
      <c r="B162" t="s">
        <v>30</v>
      </c>
      <c r="C162" s="1">
        <v>45474</v>
      </c>
      <c r="D162">
        <v>70</v>
      </c>
      <c r="E162">
        <v>5</v>
      </c>
      <c r="F162">
        <v>491.31</v>
      </c>
      <c r="G162">
        <v>3</v>
      </c>
      <c r="H162" s="2">
        <v>0.6</v>
      </c>
      <c r="I162">
        <v>3289.06</v>
      </c>
      <c r="J162">
        <v>2</v>
      </c>
      <c r="K162" s="2">
        <v>0.01</v>
      </c>
    </row>
    <row r="163" spans="1:11" x14ac:dyDescent="0.25">
      <c r="A163" t="s">
        <v>7</v>
      </c>
      <c r="B163" t="s">
        <v>30</v>
      </c>
      <c r="C163" s="1">
        <v>45474</v>
      </c>
      <c r="D163">
        <v>77</v>
      </c>
      <c r="E163">
        <v>15</v>
      </c>
      <c r="F163">
        <v>282.58999999999997</v>
      </c>
      <c r="G163">
        <v>2</v>
      </c>
      <c r="H163" s="2">
        <v>0.13</v>
      </c>
      <c r="I163">
        <v>2296.14</v>
      </c>
      <c r="J163">
        <v>1</v>
      </c>
      <c r="K163" s="2">
        <v>0.1</v>
      </c>
    </row>
    <row r="164" spans="1:11" x14ac:dyDescent="0.25">
      <c r="A164" t="s">
        <v>8</v>
      </c>
      <c r="B164" t="s">
        <v>30</v>
      </c>
      <c r="C164" s="1">
        <v>45474</v>
      </c>
      <c r="D164">
        <v>50</v>
      </c>
      <c r="E164">
        <v>9</v>
      </c>
      <c r="F164">
        <v>246.06</v>
      </c>
      <c r="G164">
        <v>5</v>
      </c>
      <c r="H164" s="2">
        <v>0.56000000000000005</v>
      </c>
      <c r="I164">
        <v>4227.22</v>
      </c>
      <c r="J164">
        <v>3</v>
      </c>
      <c r="K164" s="2">
        <v>0.04</v>
      </c>
    </row>
    <row r="165" spans="1:11" x14ac:dyDescent="0.25">
      <c r="A165" t="s">
        <v>9</v>
      </c>
      <c r="B165" t="s">
        <v>30</v>
      </c>
      <c r="C165" s="1">
        <v>45474</v>
      </c>
      <c r="D165">
        <v>31</v>
      </c>
      <c r="E165">
        <v>15</v>
      </c>
      <c r="F165">
        <v>347.38</v>
      </c>
      <c r="G165">
        <v>10</v>
      </c>
      <c r="H165" s="2">
        <v>0.67</v>
      </c>
      <c r="I165">
        <v>1101.06</v>
      </c>
      <c r="J165">
        <v>2</v>
      </c>
      <c r="K165" s="2">
        <v>0.06</v>
      </c>
    </row>
    <row r="166" spans="1:11" x14ac:dyDescent="0.25">
      <c r="A166" t="s">
        <v>10</v>
      </c>
      <c r="B166" t="s">
        <v>30</v>
      </c>
      <c r="C166" s="1">
        <v>45474</v>
      </c>
      <c r="D166">
        <v>77</v>
      </c>
      <c r="E166">
        <v>16</v>
      </c>
      <c r="F166">
        <v>335.59</v>
      </c>
      <c r="G166">
        <v>7</v>
      </c>
      <c r="H166" s="2">
        <v>0.44</v>
      </c>
      <c r="I166">
        <v>1087.4100000000001</v>
      </c>
      <c r="J166">
        <v>1</v>
      </c>
      <c r="K166" s="2">
        <v>0.04</v>
      </c>
    </row>
    <row r="167" spans="1:11" x14ac:dyDescent="0.25">
      <c r="A167" t="s">
        <v>11</v>
      </c>
      <c r="B167" t="s">
        <v>30</v>
      </c>
      <c r="C167" s="1">
        <v>45474</v>
      </c>
      <c r="D167">
        <v>17</v>
      </c>
      <c r="E167">
        <v>8</v>
      </c>
      <c r="F167">
        <v>208.21</v>
      </c>
      <c r="G167">
        <v>4</v>
      </c>
      <c r="H167" s="2">
        <v>0.5</v>
      </c>
      <c r="I167">
        <v>828.73</v>
      </c>
      <c r="J167">
        <v>3</v>
      </c>
      <c r="K167" s="2">
        <v>7.0000000000000007E-2</v>
      </c>
    </row>
    <row r="168" spans="1:11" x14ac:dyDescent="0.25">
      <c r="A168" t="s">
        <v>12</v>
      </c>
      <c r="B168" t="s">
        <v>30</v>
      </c>
      <c r="C168" s="1">
        <v>45474</v>
      </c>
      <c r="D168">
        <v>32</v>
      </c>
      <c r="E168">
        <v>6</v>
      </c>
      <c r="F168">
        <v>553.58000000000004</v>
      </c>
      <c r="G168">
        <v>3</v>
      </c>
      <c r="H168" s="2">
        <v>0.5</v>
      </c>
      <c r="I168">
        <v>3939.56</v>
      </c>
      <c r="J168">
        <v>2</v>
      </c>
      <c r="K168" s="2">
        <v>0.04</v>
      </c>
    </row>
    <row r="169" spans="1:11" x14ac:dyDescent="0.25">
      <c r="A169" t="s">
        <v>13</v>
      </c>
      <c r="B169" t="s">
        <v>30</v>
      </c>
      <c r="C169" s="1">
        <v>45474</v>
      </c>
      <c r="D169">
        <v>72</v>
      </c>
      <c r="E169">
        <v>21</v>
      </c>
      <c r="F169">
        <v>604.57000000000005</v>
      </c>
      <c r="G169">
        <v>2</v>
      </c>
      <c r="H169" s="2">
        <v>0.1</v>
      </c>
      <c r="I169">
        <v>327.82</v>
      </c>
      <c r="J169">
        <v>1</v>
      </c>
      <c r="K169" s="2">
        <v>0.04</v>
      </c>
    </row>
    <row r="170" spans="1:11" x14ac:dyDescent="0.25">
      <c r="A170" t="s">
        <v>14</v>
      </c>
      <c r="B170" t="s">
        <v>30</v>
      </c>
      <c r="C170" s="1">
        <v>45474</v>
      </c>
      <c r="D170">
        <v>34</v>
      </c>
      <c r="E170">
        <v>7</v>
      </c>
      <c r="F170">
        <v>199.39</v>
      </c>
      <c r="G170">
        <v>1</v>
      </c>
      <c r="H170" s="2">
        <v>0.14000000000000001</v>
      </c>
      <c r="I170">
        <v>3767.74</v>
      </c>
      <c r="J170">
        <v>3</v>
      </c>
      <c r="K170" s="2">
        <v>0.04</v>
      </c>
    </row>
    <row r="171" spans="1:11" x14ac:dyDescent="0.25">
      <c r="A171" t="s">
        <v>15</v>
      </c>
      <c r="B171" t="s">
        <v>30</v>
      </c>
      <c r="C171" s="1">
        <v>45474</v>
      </c>
      <c r="D171">
        <v>71</v>
      </c>
      <c r="E171">
        <v>9</v>
      </c>
      <c r="F171">
        <v>220.4</v>
      </c>
      <c r="G171">
        <v>2</v>
      </c>
      <c r="H171" s="2">
        <v>0.22</v>
      </c>
      <c r="I171">
        <v>692.29</v>
      </c>
      <c r="J171">
        <v>2</v>
      </c>
      <c r="K171" s="2">
        <v>0.03</v>
      </c>
    </row>
    <row r="172" spans="1:11" x14ac:dyDescent="0.25">
      <c r="A172" t="s">
        <v>16</v>
      </c>
      <c r="B172" t="s">
        <v>30</v>
      </c>
      <c r="C172" s="1">
        <v>45474</v>
      </c>
      <c r="D172">
        <v>83</v>
      </c>
      <c r="E172">
        <v>5</v>
      </c>
      <c r="F172">
        <v>166.85</v>
      </c>
      <c r="G172">
        <v>4</v>
      </c>
      <c r="H172" s="2">
        <v>0.8</v>
      </c>
      <c r="I172">
        <v>1364.24</v>
      </c>
      <c r="J172">
        <v>1</v>
      </c>
      <c r="K172" s="2">
        <v>0.08</v>
      </c>
    </row>
    <row r="173" spans="1:11" x14ac:dyDescent="0.25">
      <c r="A173" t="s">
        <v>17</v>
      </c>
      <c r="B173" t="s">
        <v>30</v>
      </c>
      <c r="C173" s="1">
        <v>45474</v>
      </c>
      <c r="D173">
        <v>71</v>
      </c>
      <c r="E173">
        <v>7</v>
      </c>
      <c r="F173">
        <v>78.53</v>
      </c>
      <c r="G173">
        <v>4</v>
      </c>
      <c r="H173" s="2">
        <v>0.56999999999999995</v>
      </c>
      <c r="I173">
        <v>3652.64</v>
      </c>
      <c r="J173">
        <v>3</v>
      </c>
      <c r="K173" s="2">
        <v>0.09</v>
      </c>
    </row>
    <row r="174" spans="1:11" x14ac:dyDescent="0.25">
      <c r="A174" t="s">
        <v>18</v>
      </c>
      <c r="B174" t="s">
        <v>30</v>
      </c>
      <c r="C174" s="1">
        <v>45474</v>
      </c>
      <c r="D174">
        <v>24</v>
      </c>
      <c r="E174">
        <v>13</v>
      </c>
      <c r="F174">
        <v>471.72</v>
      </c>
      <c r="G174">
        <v>7</v>
      </c>
      <c r="H174" s="2">
        <v>0.54</v>
      </c>
      <c r="I174">
        <v>3588.89</v>
      </c>
      <c r="J174">
        <v>2</v>
      </c>
      <c r="K174" s="2">
        <v>0.04</v>
      </c>
    </row>
    <row r="175" spans="1:11" x14ac:dyDescent="0.25">
      <c r="A175" t="s">
        <v>19</v>
      </c>
      <c r="B175" t="s">
        <v>30</v>
      </c>
      <c r="C175" s="1">
        <v>45474</v>
      </c>
      <c r="D175">
        <v>75</v>
      </c>
      <c r="E175">
        <v>17</v>
      </c>
      <c r="F175">
        <v>176.07</v>
      </c>
      <c r="G175">
        <v>5</v>
      </c>
      <c r="H175" s="2">
        <v>0.28999999999999998</v>
      </c>
      <c r="I175">
        <v>458.18</v>
      </c>
      <c r="J175">
        <v>1</v>
      </c>
      <c r="K175" s="2">
        <v>0.1</v>
      </c>
    </row>
    <row r="176" spans="1:11" x14ac:dyDescent="0.25">
      <c r="A176" t="s">
        <v>20</v>
      </c>
      <c r="B176" t="s">
        <v>30</v>
      </c>
      <c r="C176" s="1">
        <v>45474</v>
      </c>
      <c r="D176">
        <v>76</v>
      </c>
      <c r="E176">
        <v>11</v>
      </c>
      <c r="F176">
        <v>486.93</v>
      </c>
      <c r="G176">
        <v>0</v>
      </c>
      <c r="H176" s="2">
        <v>0</v>
      </c>
      <c r="I176">
        <v>1219.29</v>
      </c>
      <c r="J176">
        <v>3</v>
      </c>
      <c r="K176" s="2">
        <v>0</v>
      </c>
    </row>
    <row r="177" spans="1:11" x14ac:dyDescent="0.25">
      <c r="A177" t="s">
        <v>21</v>
      </c>
      <c r="B177" t="s">
        <v>30</v>
      </c>
      <c r="C177" s="1">
        <v>45474</v>
      </c>
      <c r="D177">
        <v>20</v>
      </c>
      <c r="E177">
        <v>14</v>
      </c>
      <c r="F177">
        <v>283.66000000000003</v>
      </c>
      <c r="G177">
        <v>2</v>
      </c>
      <c r="H177" s="2">
        <v>0.14000000000000001</v>
      </c>
      <c r="I177">
        <v>1494.14</v>
      </c>
      <c r="J177">
        <v>2</v>
      </c>
      <c r="K177" s="2">
        <v>0.06</v>
      </c>
    </row>
    <row r="178" spans="1:11" x14ac:dyDescent="0.25">
      <c r="A178" t="s">
        <v>22</v>
      </c>
      <c r="B178" t="s">
        <v>30</v>
      </c>
      <c r="C178" s="1">
        <v>45474</v>
      </c>
      <c r="D178">
        <v>79</v>
      </c>
      <c r="E178">
        <v>6</v>
      </c>
      <c r="F178">
        <v>536.04999999999995</v>
      </c>
      <c r="G178">
        <v>1</v>
      </c>
      <c r="H178" s="2">
        <v>0.17</v>
      </c>
      <c r="I178">
        <v>3682.29</v>
      </c>
      <c r="J178">
        <v>1</v>
      </c>
      <c r="K178" s="2">
        <v>0.03</v>
      </c>
    </row>
    <row r="179" spans="1:11" x14ac:dyDescent="0.25">
      <c r="A179" t="s">
        <v>23</v>
      </c>
      <c r="B179" t="s">
        <v>30</v>
      </c>
      <c r="C179" s="1">
        <v>45474</v>
      </c>
      <c r="D179">
        <v>82</v>
      </c>
      <c r="E179">
        <v>9</v>
      </c>
      <c r="F179">
        <v>171.86</v>
      </c>
      <c r="G179">
        <v>7</v>
      </c>
      <c r="H179" s="2">
        <v>0.78</v>
      </c>
      <c r="I179">
        <v>506.88</v>
      </c>
      <c r="J179">
        <v>3</v>
      </c>
      <c r="K179" s="2">
        <v>0.09</v>
      </c>
    </row>
    <row r="180" spans="1:11" x14ac:dyDescent="0.25">
      <c r="A180" t="s">
        <v>24</v>
      </c>
      <c r="B180" t="s">
        <v>30</v>
      </c>
      <c r="C180" s="1">
        <v>45474</v>
      </c>
      <c r="D180">
        <v>103</v>
      </c>
      <c r="E180">
        <v>15</v>
      </c>
      <c r="F180">
        <v>359.16</v>
      </c>
      <c r="G180">
        <v>1</v>
      </c>
      <c r="H180" s="2">
        <v>7.0000000000000007E-2</v>
      </c>
      <c r="I180">
        <v>2949.94</v>
      </c>
      <c r="J180">
        <v>2</v>
      </c>
      <c r="K180" s="2">
        <v>0.02</v>
      </c>
    </row>
    <row r="181" spans="1:11" x14ac:dyDescent="0.25">
      <c r="A181" t="s">
        <v>26</v>
      </c>
      <c r="B181" t="s">
        <v>30</v>
      </c>
      <c r="C181" s="1">
        <v>45474</v>
      </c>
      <c r="D181">
        <v>41</v>
      </c>
      <c r="E181">
        <v>9</v>
      </c>
      <c r="F181">
        <v>569.97</v>
      </c>
      <c r="G181">
        <v>5</v>
      </c>
      <c r="H181" s="2">
        <v>0.56000000000000005</v>
      </c>
      <c r="I181">
        <v>259.86</v>
      </c>
      <c r="J181">
        <v>1</v>
      </c>
      <c r="K181" s="2">
        <v>0.06</v>
      </c>
    </row>
    <row r="182" spans="1:11" x14ac:dyDescent="0.25">
      <c r="A182" t="s">
        <v>27</v>
      </c>
      <c r="B182" t="s">
        <v>30</v>
      </c>
      <c r="C182" s="1">
        <v>45474</v>
      </c>
      <c r="D182">
        <v>38</v>
      </c>
      <c r="E182">
        <v>14</v>
      </c>
      <c r="F182">
        <v>359.22</v>
      </c>
      <c r="G182">
        <v>8</v>
      </c>
      <c r="H182" s="2">
        <v>0.56999999999999995</v>
      </c>
      <c r="I182">
        <v>3846.34</v>
      </c>
      <c r="J182">
        <v>3</v>
      </c>
      <c r="K182" s="2">
        <v>0.09</v>
      </c>
    </row>
    <row r="183" spans="1:11" x14ac:dyDescent="0.25">
      <c r="A183" t="s">
        <v>0</v>
      </c>
      <c r="B183" t="s">
        <v>30</v>
      </c>
      <c r="C183" s="1">
        <v>45505</v>
      </c>
      <c r="D183">
        <v>71</v>
      </c>
      <c r="E183">
        <v>15</v>
      </c>
      <c r="F183">
        <v>297.05</v>
      </c>
      <c r="G183">
        <v>6</v>
      </c>
      <c r="H183" s="2">
        <v>0.4</v>
      </c>
      <c r="I183">
        <v>4043.62</v>
      </c>
      <c r="J183">
        <v>2</v>
      </c>
      <c r="K183" s="2">
        <v>0.03</v>
      </c>
    </row>
    <row r="184" spans="1:11" x14ac:dyDescent="0.25">
      <c r="A184" t="s">
        <v>2</v>
      </c>
      <c r="B184" t="s">
        <v>30</v>
      </c>
      <c r="C184" s="1">
        <v>45505</v>
      </c>
      <c r="D184">
        <v>66</v>
      </c>
      <c r="E184">
        <v>13</v>
      </c>
      <c r="F184">
        <v>376.76</v>
      </c>
      <c r="G184">
        <v>5</v>
      </c>
      <c r="H184" s="2">
        <v>0.38</v>
      </c>
      <c r="I184">
        <v>3819.73</v>
      </c>
      <c r="J184">
        <v>1</v>
      </c>
      <c r="K184" s="2">
        <v>0.04</v>
      </c>
    </row>
    <row r="185" spans="1:11" x14ac:dyDescent="0.25">
      <c r="A185" t="s">
        <v>3</v>
      </c>
      <c r="B185" t="s">
        <v>30</v>
      </c>
      <c r="C185" s="1">
        <v>45505</v>
      </c>
      <c r="D185">
        <v>53</v>
      </c>
      <c r="E185">
        <v>15</v>
      </c>
      <c r="F185">
        <v>379.29</v>
      </c>
      <c r="G185">
        <v>2</v>
      </c>
      <c r="H185" s="2">
        <v>0.13</v>
      </c>
      <c r="I185">
        <v>3409.69</v>
      </c>
      <c r="J185">
        <v>1</v>
      </c>
      <c r="K185" s="2">
        <v>0.04</v>
      </c>
    </row>
    <row r="186" spans="1:11" x14ac:dyDescent="0.25">
      <c r="A186" t="s">
        <v>4</v>
      </c>
      <c r="B186" t="s">
        <v>30</v>
      </c>
      <c r="C186" s="1">
        <v>45505</v>
      </c>
      <c r="D186">
        <v>18</v>
      </c>
      <c r="E186">
        <v>8</v>
      </c>
      <c r="F186">
        <v>82.91</v>
      </c>
      <c r="G186">
        <v>3</v>
      </c>
      <c r="H186" s="2">
        <v>0.38</v>
      </c>
      <c r="I186">
        <v>1387.86</v>
      </c>
      <c r="J186">
        <v>3</v>
      </c>
      <c r="K186" s="2">
        <v>0.03</v>
      </c>
    </row>
    <row r="187" spans="1:11" x14ac:dyDescent="0.25">
      <c r="A187" t="s">
        <v>5</v>
      </c>
      <c r="B187" t="s">
        <v>30</v>
      </c>
      <c r="C187" s="1">
        <v>45505</v>
      </c>
      <c r="D187">
        <v>72</v>
      </c>
      <c r="E187">
        <v>14</v>
      </c>
      <c r="F187">
        <v>437.47</v>
      </c>
      <c r="G187">
        <v>4</v>
      </c>
      <c r="H187" s="2">
        <v>0.28999999999999998</v>
      </c>
      <c r="I187">
        <v>958.02</v>
      </c>
      <c r="J187">
        <v>2</v>
      </c>
      <c r="K187" s="2">
        <v>0.04</v>
      </c>
    </row>
    <row r="188" spans="1:11" x14ac:dyDescent="0.25">
      <c r="A188" t="s">
        <v>6</v>
      </c>
      <c r="B188" t="s">
        <v>30</v>
      </c>
      <c r="C188" s="1">
        <v>45505</v>
      </c>
      <c r="D188">
        <v>64</v>
      </c>
      <c r="E188">
        <v>7</v>
      </c>
      <c r="F188">
        <v>554.20000000000005</v>
      </c>
      <c r="G188">
        <v>2</v>
      </c>
      <c r="H188" s="2">
        <v>0.28999999999999998</v>
      </c>
      <c r="I188">
        <v>3620.9</v>
      </c>
      <c r="J188">
        <v>1</v>
      </c>
      <c r="K188" s="2">
        <v>0.01</v>
      </c>
    </row>
    <row r="189" spans="1:11" x14ac:dyDescent="0.25">
      <c r="A189" t="s">
        <v>7</v>
      </c>
      <c r="B189" t="s">
        <v>30</v>
      </c>
      <c r="C189" s="1">
        <v>45505</v>
      </c>
      <c r="D189">
        <v>76</v>
      </c>
      <c r="E189">
        <v>21</v>
      </c>
      <c r="F189">
        <v>293.93</v>
      </c>
      <c r="G189">
        <v>2</v>
      </c>
      <c r="H189" s="2">
        <v>0.1</v>
      </c>
      <c r="I189">
        <v>2531.4</v>
      </c>
      <c r="J189">
        <v>3</v>
      </c>
      <c r="K189" s="2">
        <v>0.1</v>
      </c>
    </row>
    <row r="190" spans="1:11" x14ac:dyDescent="0.25">
      <c r="A190" t="s">
        <v>8</v>
      </c>
      <c r="B190" t="s">
        <v>30</v>
      </c>
      <c r="C190" s="1">
        <v>45505</v>
      </c>
      <c r="D190">
        <v>64</v>
      </c>
      <c r="E190">
        <v>9</v>
      </c>
      <c r="F190">
        <v>255.17</v>
      </c>
      <c r="G190">
        <v>6</v>
      </c>
      <c r="H190" s="2">
        <v>0.67</v>
      </c>
      <c r="I190">
        <v>4136.6899999999996</v>
      </c>
      <c r="J190">
        <v>2</v>
      </c>
      <c r="K190" s="2">
        <v>0.04</v>
      </c>
    </row>
    <row r="191" spans="1:11" x14ac:dyDescent="0.25">
      <c r="A191" t="s">
        <v>9</v>
      </c>
      <c r="B191" t="s">
        <v>30</v>
      </c>
      <c r="C191" s="1">
        <v>45505</v>
      </c>
      <c r="D191">
        <v>26</v>
      </c>
      <c r="E191">
        <v>17</v>
      </c>
      <c r="F191">
        <v>391.73</v>
      </c>
      <c r="G191">
        <v>7</v>
      </c>
      <c r="H191" s="2">
        <v>0.41</v>
      </c>
      <c r="I191">
        <v>1166.55</v>
      </c>
      <c r="J191">
        <v>1</v>
      </c>
      <c r="K191" s="2">
        <v>0.06</v>
      </c>
    </row>
    <row r="192" spans="1:11" x14ac:dyDescent="0.25">
      <c r="A192" t="s">
        <v>10</v>
      </c>
      <c r="B192" t="s">
        <v>30</v>
      </c>
      <c r="C192" s="1">
        <v>45505</v>
      </c>
      <c r="D192">
        <v>65</v>
      </c>
      <c r="E192">
        <v>13</v>
      </c>
      <c r="F192">
        <v>324.26</v>
      </c>
      <c r="G192">
        <v>7</v>
      </c>
      <c r="H192" s="2">
        <v>0.54</v>
      </c>
      <c r="I192">
        <v>1044.8599999999999</v>
      </c>
      <c r="J192">
        <v>3</v>
      </c>
      <c r="K192" s="2">
        <v>0.04</v>
      </c>
    </row>
    <row r="193" spans="1:11" x14ac:dyDescent="0.25">
      <c r="A193" t="s">
        <v>11</v>
      </c>
      <c r="B193" t="s">
        <v>30</v>
      </c>
      <c r="C193" s="1">
        <v>45505</v>
      </c>
      <c r="D193">
        <v>22</v>
      </c>
      <c r="E193">
        <v>9</v>
      </c>
      <c r="F193">
        <v>211.28</v>
      </c>
      <c r="G193">
        <v>8</v>
      </c>
      <c r="H193" s="2">
        <v>0.89</v>
      </c>
      <c r="I193">
        <v>772.77</v>
      </c>
      <c r="J193">
        <v>2</v>
      </c>
      <c r="K193" s="2">
        <v>0.08</v>
      </c>
    </row>
    <row r="194" spans="1:11" x14ac:dyDescent="0.25">
      <c r="A194" t="s">
        <v>12</v>
      </c>
      <c r="B194" t="s">
        <v>30</v>
      </c>
      <c r="C194" s="1">
        <v>45505</v>
      </c>
      <c r="D194">
        <v>30</v>
      </c>
      <c r="E194">
        <v>6</v>
      </c>
      <c r="F194">
        <v>549.26</v>
      </c>
      <c r="G194">
        <v>2</v>
      </c>
      <c r="H194" s="2">
        <v>0.33</v>
      </c>
      <c r="I194">
        <v>3868.36</v>
      </c>
      <c r="J194">
        <v>1</v>
      </c>
      <c r="K194" s="2">
        <v>0.04</v>
      </c>
    </row>
    <row r="195" spans="1:11" x14ac:dyDescent="0.25">
      <c r="A195" t="s">
        <v>13</v>
      </c>
      <c r="B195" t="s">
        <v>30</v>
      </c>
      <c r="C195" s="1">
        <v>45505</v>
      </c>
      <c r="D195">
        <v>83</v>
      </c>
      <c r="E195">
        <v>15</v>
      </c>
      <c r="F195">
        <v>601.05999999999995</v>
      </c>
      <c r="G195">
        <v>3</v>
      </c>
      <c r="H195" s="2">
        <v>0.2</v>
      </c>
      <c r="I195">
        <v>350.62</v>
      </c>
      <c r="J195">
        <v>3</v>
      </c>
      <c r="K195" s="2">
        <v>0.04</v>
      </c>
    </row>
    <row r="196" spans="1:11" x14ac:dyDescent="0.25">
      <c r="A196" t="s">
        <v>14</v>
      </c>
      <c r="B196" t="s">
        <v>30</v>
      </c>
      <c r="C196" s="1">
        <v>45505</v>
      </c>
      <c r="D196">
        <v>35</v>
      </c>
      <c r="E196">
        <v>6</v>
      </c>
      <c r="F196">
        <v>192.19</v>
      </c>
      <c r="G196">
        <v>1</v>
      </c>
      <c r="H196" s="2">
        <v>0.17</v>
      </c>
      <c r="I196">
        <v>3963.32</v>
      </c>
      <c r="J196">
        <v>2</v>
      </c>
      <c r="K196" s="2">
        <v>0.04</v>
      </c>
    </row>
    <row r="197" spans="1:11" x14ac:dyDescent="0.25">
      <c r="A197" t="s">
        <v>15</v>
      </c>
      <c r="B197" t="s">
        <v>30</v>
      </c>
      <c r="C197" s="1">
        <v>45505</v>
      </c>
      <c r="D197">
        <v>73</v>
      </c>
      <c r="E197">
        <v>8</v>
      </c>
      <c r="F197">
        <v>191.76</v>
      </c>
      <c r="G197">
        <v>3</v>
      </c>
      <c r="H197" s="2">
        <v>0.38</v>
      </c>
      <c r="I197">
        <v>675.97</v>
      </c>
      <c r="J197">
        <v>3</v>
      </c>
      <c r="K197" s="2">
        <v>0.03</v>
      </c>
    </row>
    <row r="198" spans="1:11" x14ac:dyDescent="0.25">
      <c r="A198" t="s">
        <v>16</v>
      </c>
      <c r="B198" t="s">
        <v>30</v>
      </c>
      <c r="C198" s="1">
        <v>45505</v>
      </c>
      <c r="D198">
        <v>104</v>
      </c>
      <c r="E198">
        <v>4</v>
      </c>
      <c r="F198">
        <v>169.75</v>
      </c>
      <c r="G198">
        <v>3</v>
      </c>
      <c r="H198" s="2">
        <v>0.75</v>
      </c>
      <c r="I198">
        <v>1255.83</v>
      </c>
      <c r="J198">
        <v>2</v>
      </c>
      <c r="K198" s="2">
        <v>0.08</v>
      </c>
    </row>
    <row r="199" spans="1:11" x14ac:dyDescent="0.25">
      <c r="A199" t="s">
        <v>17</v>
      </c>
      <c r="B199" t="s">
        <v>30</v>
      </c>
      <c r="C199" s="1">
        <v>45505</v>
      </c>
      <c r="D199">
        <v>71</v>
      </c>
      <c r="E199">
        <v>6</v>
      </c>
      <c r="F199">
        <v>87.5</v>
      </c>
      <c r="G199">
        <v>3</v>
      </c>
      <c r="H199" s="2">
        <v>0.5</v>
      </c>
      <c r="I199">
        <v>3666.64</v>
      </c>
      <c r="J199">
        <v>1</v>
      </c>
      <c r="K199" s="2">
        <v>0.09</v>
      </c>
    </row>
    <row r="200" spans="1:11" x14ac:dyDescent="0.25">
      <c r="A200" t="s">
        <v>18</v>
      </c>
      <c r="B200" t="s">
        <v>30</v>
      </c>
      <c r="C200" s="1">
        <v>45505</v>
      </c>
      <c r="D200">
        <v>22</v>
      </c>
      <c r="E200">
        <v>14</v>
      </c>
      <c r="F200">
        <v>477.3</v>
      </c>
      <c r="G200">
        <v>6</v>
      </c>
      <c r="H200" s="2">
        <v>0.43</v>
      </c>
      <c r="I200">
        <v>3790.05</v>
      </c>
      <c r="J200">
        <v>3</v>
      </c>
      <c r="K200" s="2">
        <v>0.03</v>
      </c>
    </row>
    <row r="201" spans="1:11" x14ac:dyDescent="0.25">
      <c r="A201" t="s">
        <v>19</v>
      </c>
      <c r="B201" t="s">
        <v>30</v>
      </c>
      <c r="C201" s="1">
        <v>45505</v>
      </c>
      <c r="D201">
        <v>85</v>
      </c>
      <c r="E201">
        <v>17</v>
      </c>
      <c r="F201">
        <v>187.72</v>
      </c>
      <c r="G201">
        <v>5</v>
      </c>
      <c r="H201" s="2">
        <v>0.28999999999999998</v>
      </c>
      <c r="I201">
        <v>443.22</v>
      </c>
      <c r="J201">
        <v>2</v>
      </c>
      <c r="K201" s="2">
        <v>0.1</v>
      </c>
    </row>
    <row r="202" spans="1:11" x14ac:dyDescent="0.25">
      <c r="A202" t="s">
        <v>20</v>
      </c>
      <c r="B202" t="s">
        <v>30</v>
      </c>
      <c r="C202" s="1">
        <v>45505</v>
      </c>
      <c r="D202">
        <v>80</v>
      </c>
      <c r="E202">
        <v>13</v>
      </c>
      <c r="F202">
        <v>504.59</v>
      </c>
      <c r="G202">
        <v>0</v>
      </c>
      <c r="H202" s="2">
        <v>0</v>
      </c>
      <c r="I202">
        <v>1265.47</v>
      </c>
      <c r="J202">
        <v>1</v>
      </c>
      <c r="K202" s="2">
        <v>0</v>
      </c>
    </row>
    <row r="203" spans="1:11" x14ac:dyDescent="0.25">
      <c r="A203" t="s">
        <v>21</v>
      </c>
      <c r="B203" t="s">
        <v>30</v>
      </c>
      <c r="C203" s="1">
        <v>45505</v>
      </c>
      <c r="D203">
        <v>18</v>
      </c>
      <c r="E203">
        <v>12</v>
      </c>
      <c r="F203">
        <v>262.26</v>
      </c>
      <c r="G203">
        <v>1</v>
      </c>
      <c r="H203" s="2">
        <v>0.08</v>
      </c>
      <c r="I203">
        <v>1573.7</v>
      </c>
      <c r="J203">
        <v>3</v>
      </c>
      <c r="K203" s="2">
        <v>0.05</v>
      </c>
    </row>
    <row r="204" spans="1:11" x14ac:dyDescent="0.25">
      <c r="A204" t="s">
        <v>22</v>
      </c>
      <c r="B204" t="s">
        <v>30</v>
      </c>
      <c r="C204" s="1">
        <v>45505</v>
      </c>
      <c r="D204">
        <v>106</v>
      </c>
      <c r="E204">
        <v>6</v>
      </c>
      <c r="F204">
        <v>572.16</v>
      </c>
      <c r="G204">
        <v>2</v>
      </c>
      <c r="H204" s="2">
        <v>0.33</v>
      </c>
      <c r="I204">
        <v>3398.37</v>
      </c>
      <c r="J204">
        <v>2</v>
      </c>
      <c r="K204" s="2">
        <v>0.03</v>
      </c>
    </row>
    <row r="205" spans="1:11" x14ac:dyDescent="0.25">
      <c r="A205" t="s">
        <v>23</v>
      </c>
      <c r="B205" t="s">
        <v>30</v>
      </c>
      <c r="C205" s="1">
        <v>45505</v>
      </c>
      <c r="D205">
        <v>71</v>
      </c>
      <c r="E205">
        <v>9</v>
      </c>
      <c r="F205">
        <v>172.96</v>
      </c>
      <c r="G205">
        <v>6</v>
      </c>
      <c r="H205" s="2">
        <v>0.67</v>
      </c>
      <c r="I205">
        <v>464.49</v>
      </c>
      <c r="J205">
        <v>1</v>
      </c>
      <c r="K205" s="2">
        <v>0.08</v>
      </c>
    </row>
    <row r="206" spans="1:11" x14ac:dyDescent="0.25">
      <c r="A206" t="s">
        <v>24</v>
      </c>
      <c r="B206" t="s">
        <v>30</v>
      </c>
      <c r="C206" s="1">
        <v>45505</v>
      </c>
      <c r="D206">
        <v>115</v>
      </c>
      <c r="E206">
        <v>17</v>
      </c>
      <c r="F206">
        <v>422.48</v>
      </c>
      <c r="G206">
        <v>0</v>
      </c>
      <c r="H206" s="2">
        <v>0</v>
      </c>
      <c r="I206">
        <v>2681.51</v>
      </c>
      <c r="J206">
        <v>3</v>
      </c>
      <c r="K206" s="2">
        <v>0.03</v>
      </c>
    </row>
    <row r="207" spans="1:11" x14ac:dyDescent="0.25">
      <c r="A207" t="s">
        <v>26</v>
      </c>
      <c r="B207" t="s">
        <v>30</v>
      </c>
      <c r="C207" s="1">
        <v>45505</v>
      </c>
      <c r="D207">
        <v>34</v>
      </c>
      <c r="E207">
        <v>10</v>
      </c>
      <c r="F207">
        <v>565.11</v>
      </c>
      <c r="G207">
        <v>5</v>
      </c>
      <c r="H207" s="2">
        <v>0.5</v>
      </c>
      <c r="I207">
        <v>222.62</v>
      </c>
      <c r="J207">
        <v>2</v>
      </c>
      <c r="K207" s="2">
        <v>7.0000000000000007E-2</v>
      </c>
    </row>
    <row r="208" spans="1:11" x14ac:dyDescent="0.25">
      <c r="A208" t="s">
        <v>27</v>
      </c>
      <c r="B208" t="s">
        <v>30</v>
      </c>
      <c r="C208" s="1">
        <v>45505</v>
      </c>
      <c r="D208">
        <v>40</v>
      </c>
      <c r="E208">
        <v>17</v>
      </c>
      <c r="F208">
        <v>355.83</v>
      </c>
      <c r="G208">
        <v>6</v>
      </c>
      <c r="H208" s="2">
        <v>0.35</v>
      </c>
      <c r="I208">
        <v>4155.8599999999997</v>
      </c>
      <c r="J208">
        <v>1</v>
      </c>
      <c r="K208" s="2">
        <v>0.09</v>
      </c>
    </row>
    <row r="209" spans="1:11" x14ac:dyDescent="0.25">
      <c r="A209" t="s">
        <v>0</v>
      </c>
      <c r="B209" t="s">
        <v>30</v>
      </c>
      <c r="C209" s="1">
        <v>45536</v>
      </c>
      <c r="D209">
        <v>51</v>
      </c>
      <c r="E209">
        <v>15</v>
      </c>
      <c r="F209">
        <v>349.71</v>
      </c>
      <c r="G209">
        <v>8</v>
      </c>
      <c r="H209" s="2">
        <v>0.53</v>
      </c>
      <c r="I209">
        <v>4017.54</v>
      </c>
      <c r="J209">
        <v>1</v>
      </c>
      <c r="K209" s="2">
        <v>0.03</v>
      </c>
    </row>
    <row r="210" spans="1:11" x14ac:dyDescent="0.25">
      <c r="A210" t="s">
        <v>2</v>
      </c>
      <c r="B210" t="s">
        <v>30</v>
      </c>
      <c r="C210" s="1">
        <v>45536</v>
      </c>
      <c r="D210">
        <v>79</v>
      </c>
      <c r="E210">
        <v>9</v>
      </c>
      <c r="F210">
        <v>358.67</v>
      </c>
      <c r="G210">
        <v>5</v>
      </c>
      <c r="H210" s="2">
        <v>0.56000000000000005</v>
      </c>
      <c r="I210">
        <v>3658.64</v>
      </c>
      <c r="J210">
        <v>3</v>
      </c>
      <c r="K210" s="2">
        <v>0.04</v>
      </c>
    </row>
    <row r="211" spans="1:11" x14ac:dyDescent="0.25">
      <c r="A211" t="s">
        <v>3</v>
      </c>
      <c r="B211" t="s">
        <v>30</v>
      </c>
      <c r="C211" s="1">
        <v>45536</v>
      </c>
      <c r="D211">
        <v>57</v>
      </c>
      <c r="E211">
        <v>18</v>
      </c>
      <c r="F211">
        <v>403.41</v>
      </c>
      <c r="G211">
        <v>3</v>
      </c>
      <c r="H211" s="2">
        <v>0.17</v>
      </c>
      <c r="I211">
        <v>3767.63</v>
      </c>
      <c r="J211">
        <v>2</v>
      </c>
      <c r="K211" s="2">
        <v>0.04</v>
      </c>
    </row>
    <row r="212" spans="1:11" x14ac:dyDescent="0.25">
      <c r="A212" t="s">
        <v>4</v>
      </c>
      <c r="B212" t="s">
        <v>30</v>
      </c>
      <c r="C212" s="1">
        <v>45536</v>
      </c>
      <c r="D212">
        <v>24</v>
      </c>
      <c r="E212">
        <v>7</v>
      </c>
      <c r="F212">
        <v>79.62</v>
      </c>
      <c r="G212">
        <v>4</v>
      </c>
      <c r="H212" s="2">
        <v>0.56999999999999995</v>
      </c>
      <c r="I212">
        <v>1650.69</v>
      </c>
      <c r="J212">
        <v>1</v>
      </c>
      <c r="K212" s="2">
        <v>0.03</v>
      </c>
    </row>
    <row r="213" spans="1:11" x14ac:dyDescent="0.25">
      <c r="A213" t="s">
        <v>5</v>
      </c>
      <c r="B213" t="s">
        <v>30</v>
      </c>
      <c r="C213" s="1">
        <v>45536</v>
      </c>
      <c r="D213">
        <v>77</v>
      </c>
      <c r="E213">
        <v>11</v>
      </c>
      <c r="F213">
        <v>487.47</v>
      </c>
      <c r="G213">
        <v>4</v>
      </c>
      <c r="H213" s="2">
        <v>0.36</v>
      </c>
      <c r="I213">
        <v>990.89</v>
      </c>
      <c r="J213">
        <v>3</v>
      </c>
      <c r="K213" s="2">
        <v>0.04</v>
      </c>
    </row>
    <row r="214" spans="1:11" x14ac:dyDescent="0.25">
      <c r="A214" t="s">
        <v>6</v>
      </c>
      <c r="B214" t="s">
        <v>30</v>
      </c>
      <c r="C214" s="1">
        <v>45536</v>
      </c>
      <c r="D214">
        <v>69</v>
      </c>
      <c r="E214">
        <v>7</v>
      </c>
      <c r="F214">
        <v>549.77</v>
      </c>
      <c r="G214">
        <v>2</v>
      </c>
      <c r="H214" s="2">
        <v>0.28999999999999998</v>
      </c>
      <c r="I214">
        <v>3916.58</v>
      </c>
      <c r="J214">
        <v>2</v>
      </c>
      <c r="K214" s="2">
        <v>0.01</v>
      </c>
    </row>
    <row r="215" spans="1:11" x14ac:dyDescent="0.25">
      <c r="A215" t="s">
        <v>7</v>
      </c>
      <c r="B215" t="s">
        <v>30</v>
      </c>
      <c r="C215" s="1">
        <v>45536</v>
      </c>
      <c r="D215">
        <v>74</v>
      </c>
      <c r="E215">
        <v>18</v>
      </c>
      <c r="F215">
        <v>306.89999999999998</v>
      </c>
      <c r="G215">
        <v>3</v>
      </c>
      <c r="H215" s="2">
        <v>0.17</v>
      </c>
      <c r="I215">
        <v>2254.16</v>
      </c>
      <c r="J215">
        <v>1</v>
      </c>
      <c r="K215" s="2">
        <v>0.1</v>
      </c>
    </row>
    <row r="216" spans="1:11" x14ac:dyDescent="0.25">
      <c r="A216" t="s">
        <v>8</v>
      </c>
      <c r="B216" t="s">
        <v>30</v>
      </c>
      <c r="C216" s="1">
        <v>45536</v>
      </c>
      <c r="D216">
        <v>57</v>
      </c>
      <c r="E216">
        <v>7</v>
      </c>
      <c r="F216">
        <v>262.27999999999997</v>
      </c>
      <c r="G216">
        <v>7</v>
      </c>
      <c r="H216" s="2">
        <v>1</v>
      </c>
      <c r="I216">
        <v>3929.11</v>
      </c>
      <c r="J216">
        <v>3</v>
      </c>
      <c r="K216" s="2">
        <v>0.04</v>
      </c>
    </row>
    <row r="217" spans="1:11" x14ac:dyDescent="0.25">
      <c r="A217" t="s">
        <v>9</v>
      </c>
      <c r="B217" t="s">
        <v>30</v>
      </c>
      <c r="C217" s="1">
        <v>45536</v>
      </c>
      <c r="D217">
        <v>26</v>
      </c>
      <c r="E217">
        <v>21</v>
      </c>
      <c r="F217">
        <v>359.51</v>
      </c>
      <c r="G217">
        <v>9</v>
      </c>
      <c r="H217" s="2">
        <v>0.43</v>
      </c>
      <c r="I217">
        <v>1187.3699999999999</v>
      </c>
      <c r="J217">
        <v>2</v>
      </c>
      <c r="K217" s="2">
        <v>0.05</v>
      </c>
    </row>
    <row r="218" spans="1:11" x14ac:dyDescent="0.25">
      <c r="A218" t="s">
        <v>10</v>
      </c>
      <c r="B218" t="s">
        <v>30</v>
      </c>
      <c r="C218" s="1">
        <v>45536</v>
      </c>
      <c r="D218">
        <v>76</v>
      </c>
      <c r="E218">
        <v>18</v>
      </c>
      <c r="F218">
        <v>339.1</v>
      </c>
      <c r="G218">
        <v>8</v>
      </c>
      <c r="H218" s="2">
        <v>0.44</v>
      </c>
      <c r="I218">
        <v>924.79</v>
      </c>
      <c r="J218">
        <v>1</v>
      </c>
      <c r="K218" s="2">
        <v>0.04</v>
      </c>
    </row>
    <row r="219" spans="1:11" x14ac:dyDescent="0.25">
      <c r="A219" t="s">
        <v>11</v>
      </c>
      <c r="B219" t="s">
        <v>30</v>
      </c>
      <c r="C219" s="1">
        <v>45536</v>
      </c>
      <c r="D219">
        <v>22</v>
      </c>
      <c r="E219">
        <v>7</v>
      </c>
      <c r="F219">
        <v>182.47</v>
      </c>
      <c r="G219">
        <v>7</v>
      </c>
      <c r="H219" s="2">
        <v>1</v>
      </c>
      <c r="I219">
        <v>779.86</v>
      </c>
      <c r="J219">
        <v>3</v>
      </c>
      <c r="K219" s="2">
        <v>7.0000000000000007E-2</v>
      </c>
    </row>
    <row r="220" spans="1:11" x14ac:dyDescent="0.25">
      <c r="A220" t="s">
        <v>12</v>
      </c>
      <c r="B220" t="s">
        <v>30</v>
      </c>
      <c r="C220" s="1">
        <v>45536</v>
      </c>
      <c r="D220">
        <v>38</v>
      </c>
      <c r="E220">
        <v>6</v>
      </c>
      <c r="F220">
        <v>553.89</v>
      </c>
      <c r="G220">
        <v>6</v>
      </c>
      <c r="H220" s="2">
        <v>1</v>
      </c>
      <c r="I220">
        <v>4013.79</v>
      </c>
      <c r="J220">
        <v>2</v>
      </c>
      <c r="K220" s="2">
        <v>0.04</v>
      </c>
    </row>
    <row r="221" spans="1:11" x14ac:dyDescent="0.25">
      <c r="A221" t="s">
        <v>13</v>
      </c>
      <c r="B221" t="s">
        <v>30</v>
      </c>
      <c r="C221" s="1">
        <v>45536</v>
      </c>
      <c r="D221">
        <v>87</v>
      </c>
      <c r="E221">
        <v>21</v>
      </c>
      <c r="F221">
        <v>633.13</v>
      </c>
      <c r="G221">
        <v>2</v>
      </c>
      <c r="H221" s="2">
        <v>0.1</v>
      </c>
      <c r="I221">
        <v>336.22</v>
      </c>
      <c r="J221">
        <v>1</v>
      </c>
      <c r="K221" s="2">
        <v>0.03</v>
      </c>
    </row>
    <row r="222" spans="1:11" x14ac:dyDescent="0.25">
      <c r="A222" t="s">
        <v>14</v>
      </c>
      <c r="B222" t="s">
        <v>30</v>
      </c>
      <c r="C222" s="1">
        <v>45536</v>
      </c>
      <c r="D222">
        <v>37</v>
      </c>
      <c r="E222">
        <v>8</v>
      </c>
      <c r="F222">
        <v>215.09</v>
      </c>
      <c r="G222">
        <v>2</v>
      </c>
      <c r="H222" s="2">
        <v>0.25</v>
      </c>
      <c r="I222">
        <v>3424.83</v>
      </c>
      <c r="J222">
        <v>3</v>
      </c>
      <c r="K222" s="2">
        <v>0.04</v>
      </c>
    </row>
    <row r="223" spans="1:11" x14ac:dyDescent="0.25">
      <c r="A223" t="s">
        <v>15</v>
      </c>
      <c r="B223" t="s">
        <v>30</v>
      </c>
      <c r="C223" s="1">
        <v>45536</v>
      </c>
      <c r="D223">
        <v>71</v>
      </c>
      <c r="E223">
        <v>8</v>
      </c>
      <c r="F223">
        <v>199.19</v>
      </c>
      <c r="G223">
        <v>2</v>
      </c>
      <c r="H223" s="2">
        <v>0.25</v>
      </c>
      <c r="I223">
        <v>635.24</v>
      </c>
      <c r="J223">
        <v>2</v>
      </c>
      <c r="K223" s="2">
        <v>0.03</v>
      </c>
    </row>
    <row r="224" spans="1:11" x14ac:dyDescent="0.25">
      <c r="A224" t="s">
        <v>16</v>
      </c>
      <c r="B224" t="s">
        <v>30</v>
      </c>
      <c r="C224" s="1">
        <v>45536</v>
      </c>
      <c r="D224">
        <v>81</v>
      </c>
      <c r="E224">
        <v>5</v>
      </c>
      <c r="F224">
        <v>153.5</v>
      </c>
      <c r="G224">
        <v>2</v>
      </c>
      <c r="H224" s="2">
        <v>0.4</v>
      </c>
      <c r="I224">
        <v>1307.47</v>
      </c>
      <c r="J224">
        <v>1</v>
      </c>
      <c r="K224" s="2">
        <v>7.0000000000000007E-2</v>
      </c>
    </row>
    <row r="225" spans="1:11" x14ac:dyDescent="0.25">
      <c r="A225" t="s">
        <v>17</v>
      </c>
      <c r="B225" t="s">
        <v>30</v>
      </c>
      <c r="C225" s="1">
        <v>45536</v>
      </c>
      <c r="D225">
        <v>93</v>
      </c>
      <c r="E225">
        <v>5</v>
      </c>
      <c r="F225">
        <v>77.12</v>
      </c>
      <c r="G225">
        <v>2</v>
      </c>
      <c r="H225" s="2">
        <v>0.4</v>
      </c>
      <c r="I225">
        <v>3483.91</v>
      </c>
      <c r="J225">
        <v>3</v>
      </c>
      <c r="K225" s="2">
        <v>0.1</v>
      </c>
    </row>
    <row r="226" spans="1:11" x14ac:dyDescent="0.25">
      <c r="A226" t="s">
        <v>18</v>
      </c>
      <c r="B226" t="s">
        <v>30</v>
      </c>
      <c r="C226" s="1">
        <v>45536</v>
      </c>
      <c r="D226">
        <v>21</v>
      </c>
      <c r="E226">
        <v>17</v>
      </c>
      <c r="F226">
        <v>533.41999999999996</v>
      </c>
      <c r="G226">
        <v>7</v>
      </c>
      <c r="H226" s="2">
        <v>0.41</v>
      </c>
      <c r="I226">
        <v>3895.32</v>
      </c>
      <c r="J226">
        <v>2</v>
      </c>
      <c r="K226" s="2">
        <v>0.03</v>
      </c>
    </row>
    <row r="227" spans="1:11" x14ac:dyDescent="0.25">
      <c r="A227" t="s">
        <v>19</v>
      </c>
      <c r="B227" t="s">
        <v>30</v>
      </c>
      <c r="C227" s="1">
        <v>45536</v>
      </c>
      <c r="D227">
        <v>86</v>
      </c>
      <c r="E227">
        <v>17</v>
      </c>
      <c r="F227">
        <v>160.88999999999999</v>
      </c>
      <c r="G227">
        <v>4</v>
      </c>
      <c r="H227" s="2">
        <v>0.24</v>
      </c>
      <c r="I227">
        <v>418.33</v>
      </c>
      <c r="J227">
        <v>1</v>
      </c>
      <c r="K227" s="2">
        <v>0.09</v>
      </c>
    </row>
    <row r="228" spans="1:11" x14ac:dyDescent="0.25">
      <c r="A228" t="s">
        <v>20</v>
      </c>
      <c r="B228" t="s">
        <v>30</v>
      </c>
      <c r="C228" s="1">
        <v>45536</v>
      </c>
      <c r="D228">
        <v>72</v>
      </c>
      <c r="E228">
        <v>11</v>
      </c>
      <c r="F228">
        <v>459.86</v>
      </c>
      <c r="G228">
        <v>0</v>
      </c>
      <c r="H228" s="2">
        <v>0</v>
      </c>
      <c r="I228">
        <v>1269.5999999999999</v>
      </c>
      <c r="J228">
        <v>3</v>
      </c>
      <c r="K228" s="2">
        <v>0</v>
      </c>
    </row>
    <row r="229" spans="1:11" x14ac:dyDescent="0.25">
      <c r="A229" t="s">
        <v>21</v>
      </c>
      <c r="B229" t="s">
        <v>30</v>
      </c>
      <c r="C229" s="1">
        <v>45536</v>
      </c>
      <c r="D229">
        <v>18</v>
      </c>
      <c r="E229">
        <v>13</v>
      </c>
      <c r="F229">
        <v>290.14</v>
      </c>
      <c r="G229">
        <v>2</v>
      </c>
      <c r="H229" s="2">
        <v>0.15</v>
      </c>
      <c r="I229">
        <v>1444.65</v>
      </c>
      <c r="J229">
        <v>2</v>
      </c>
      <c r="K229" s="2">
        <v>0.05</v>
      </c>
    </row>
    <row r="230" spans="1:11" x14ac:dyDescent="0.25">
      <c r="A230" t="s">
        <v>22</v>
      </c>
      <c r="B230" t="s">
        <v>30</v>
      </c>
      <c r="C230" s="1">
        <v>45536</v>
      </c>
      <c r="D230">
        <v>105</v>
      </c>
      <c r="E230">
        <v>7</v>
      </c>
      <c r="F230">
        <v>587.83000000000004</v>
      </c>
      <c r="G230">
        <v>1</v>
      </c>
      <c r="H230" s="2">
        <v>0.14000000000000001</v>
      </c>
      <c r="I230">
        <v>3601.93</v>
      </c>
      <c r="J230">
        <v>1</v>
      </c>
      <c r="K230" s="2">
        <v>0.03</v>
      </c>
    </row>
    <row r="231" spans="1:11" x14ac:dyDescent="0.25">
      <c r="A231" t="s">
        <v>23</v>
      </c>
      <c r="B231" t="s">
        <v>30</v>
      </c>
      <c r="C231" s="1">
        <v>45536</v>
      </c>
      <c r="D231">
        <v>75</v>
      </c>
      <c r="E231">
        <v>8</v>
      </c>
      <c r="F231">
        <v>177.88</v>
      </c>
      <c r="G231">
        <v>7</v>
      </c>
      <c r="H231" s="2">
        <v>0.88</v>
      </c>
      <c r="I231">
        <v>507.1</v>
      </c>
      <c r="J231">
        <v>3</v>
      </c>
      <c r="K231" s="2">
        <v>0.1</v>
      </c>
    </row>
    <row r="232" spans="1:11" x14ac:dyDescent="0.25">
      <c r="A232" t="s">
        <v>24</v>
      </c>
      <c r="B232" t="s">
        <v>30</v>
      </c>
      <c r="C232" s="1">
        <v>45536</v>
      </c>
      <c r="D232">
        <v>98</v>
      </c>
      <c r="E232">
        <v>12</v>
      </c>
      <c r="F232">
        <v>406.95</v>
      </c>
      <c r="G232">
        <v>0</v>
      </c>
      <c r="H232" s="2">
        <v>0</v>
      </c>
      <c r="I232">
        <v>2978.09</v>
      </c>
      <c r="J232">
        <v>2</v>
      </c>
      <c r="K232" s="2">
        <v>0.02</v>
      </c>
    </row>
    <row r="233" spans="1:11" x14ac:dyDescent="0.25">
      <c r="A233" t="s">
        <v>26</v>
      </c>
      <c r="B233" t="s">
        <v>30</v>
      </c>
      <c r="C233" s="1">
        <v>45536</v>
      </c>
      <c r="D233">
        <v>33</v>
      </c>
      <c r="E233">
        <v>13</v>
      </c>
      <c r="F233">
        <v>517.1</v>
      </c>
      <c r="G233">
        <v>4</v>
      </c>
      <c r="H233" s="2">
        <v>0.31</v>
      </c>
      <c r="I233">
        <v>250.08</v>
      </c>
      <c r="J233">
        <v>1</v>
      </c>
      <c r="K233" s="2">
        <v>7.0000000000000007E-2</v>
      </c>
    </row>
    <row r="234" spans="1:11" x14ac:dyDescent="0.25">
      <c r="A234" t="s">
        <v>27</v>
      </c>
      <c r="B234" t="s">
        <v>30</v>
      </c>
      <c r="C234" s="1">
        <v>45536</v>
      </c>
      <c r="D234">
        <v>35</v>
      </c>
      <c r="E234">
        <v>18</v>
      </c>
      <c r="F234">
        <v>348.92</v>
      </c>
      <c r="G234">
        <v>7</v>
      </c>
      <c r="H234" s="2">
        <v>0.39</v>
      </c>
      <c r="I234">
        <v>4381.3900000000003</v>
      </c>
      <c r="J234">
        <v>1</v>
      </c>
      <c r="K234" s="2">
        <v>0.09</v>
      </c>
    </row>
    <row r="235" spans="1:11" x14ac:dyDescent="0.25">
      <c r="A235" t="s">
        <v>0</v>
      </c>
      <c r="B235" t="s">
        <v>30</v>
      </c>
      <c r="C235" s="1">
        <v>45566</v>
      </c>
      <c r="D235">
        <v>74</v>
      </c>
      <c r="E235">
        <v>16</v>
      </c>
      <c r="F235">
        <v>308.51</v>
      </c>
      <c r="G235">
        <v>7</v>
      </c>
      <c r="H235" s="2">
        <v>0.44</v>
      </c>
      <c r="I235">
        <v>4267.5</v>
      </c>
      <c r="J235">
        <v>3</v>
      </c>
      <c r="K235" s="2">
        <v>0.03</v>
      </c>
    </row>
    <row r="236" spans="1:11" x14ac:dyDescent="0.25">
      <c r="A236" t="s">
        <v>2</v>
      </c>
      <c r="B236" t="s">
        <v>30</v>
      </c>
      <c r="C236" s="1">
        <v>45566</v>
      </c>
      <c r="D236">
        <v>72</v>
      </c>
      <c r="E236">
        <v>10</v>
      </c>
      <c r="F236">
        <v>362.58</v>
      </c>
      <c r="G236">
        <v>5</v>
      </c>
      <c r="H236" s="2">
        <v>0.5</v>
      </c>
      <c r="I236">
        <v>3679.65</v>
      </c>
      <c r="J236">
        <v>2</v>
      </c>
      <c r="K236" s="2">
        <v>0.04</v>
      </c>
    </row>
    <row r="237" spans="1:11" x14ac:dyDescent="0.25">
      <c r="A237" t="s">
        <v>3</v>
      </c>
      <c r="B237" t="s">
        <v>30</v>
      </c>
      <c r="C237" s="1">
        <v>45566</v>
      </c>
      <c r="D237">
        <v>58</v>
      </c>
      <c r="E237">
        <v>13</v>
      </c>
      <c r="F237">
        <v>368.06</v>
      </c>
      <c r="G237">
        <v>2</v>
      </c>
      <c r="H237" s="2">
        <v>0.15</v>
      </c>
      <c r="I237">
        <v>3626.22</v>
      </c>
      <c r="J237">
        <v>1</v>
      </c>
      <c r="K237" s="2">
        <v>0.04</v>
      </c>
    </row>
    <row r="238" spans="1:11" x14ac:dyDescent="0.25">
      <c r="A238" t="s">
        <v>4</v>
      </c>
      <c r="B238" t="s">
        <v>30</v>
      </c>
      <c r="C238" s="1">
        <v>45566</v>
      </c>
      <c r="D238">
        <v>22</v>
      </c>
      <c r="E238">
        <v>7</v>
      </c>
      <c r="F238">
        <v>74.680000000000007</v>
      </c>
      <c r="G238">
        <v>4</v>
      </c>
      <c r="H238" s="2">
        <v>0.56999999999999995</v>
      </c>
      <c r="I238">
        <v>1543.72</v>
      </c>
      <c r="J238">
        <v>3</v>
      </c>
      <c r="K238" s="2">
        <v>0.03</v>
      </c>
    </row>
    <row r="239" spans="1:11" x14ac:dyDescent="0.25">
      <c r="A239" t="s">
        <v>5</v>
      </c>
      <c r="B239" t="s">
        <v>30</v>
      </c>
      <c r="C239" s="1">
        <v>45566</v>
      </c>
      <c r="D239">
        <v>74</v>
      </c>
      <c r="E239">
        <v>15</v>
      </c>
      <c r="F239">
        <v>460.2</v>
      </c>
      <c r="G239">
        <v>4</v>
      </c>
      <c r="H239" s="2">
        <v>0.27</v>
      </c>
      <c r="I239">
        <v>980.1</v>
      </c>
      <c r="J239">
        <v>2</v>
      </c>
      <c r="K239" s="2">
        <v>0.04</v>
      </c>
    </row>
    <row r="240" spans="1:11" x14ac:dyDescent="0.25">
      <c r="A240" t="s">
        <v>6</v>
      </c>
      <c r="B240" t="s">
        <v>30</v>
      </c>
      <c r="C240" s="1">
        <v>45566</v>
      </c>
      <c r="D240">
        <v>62</v>
      </c>
      <c r="E240">
        <v>8</v>
      </c>
      <c r="F240">
        <v>540.79999999999995</v>
      </c>
      <c r="G240">
        <v>3</v>
      </c>
      <c r="H240" s="2">
        <v>0.38</v>
      </c>
      <c r="I240">
        <v>3928.71</v>
      </c>
      <c r="J240">
        <v>1</v>
      </c>
      <c r="K240" s="2">
        <v>0.01</v>
      </c>
    </row>
    <row r="241" spans="1:11" x14ac:dyDescent="0.25">
      <c r="A241" t="s">
        <v>7</v>
      </c>
      <c r="B241" t="s">
        <v>30</v>
      </c>
      <c r="C241" s="1">
        <v>45566</v>
      </c>
      <c r="D241">
        <v>70</v>
      </c>
      <c r="E241">
        <v>21</v>
      </c>
      <c r="F241">
        <v>319.62</v>
      </c>
      <c r="G241">
        <v>3</v>
      </c>
      <c r="H241" s="2">
        <v>0.14000000000000001</v>
      </c>
      <c r="I241">
        <v>2486.2199999999998</v>
      </c>
      <c r="J241">
        <v>3</v>
      </c>
      <c r="K241" s="2">
        <v>0.1</v>
      </c>
    </row>
    <row r="242" spans="1:11" x14ac:dyDescent="0.25">
      <c r="A242" t="s">
        <v>8</v>
      </c>
      <c r="B242" t="s">
        <v>30</v>
      </c>
      <c r="C242" s="1">
        <v>45566</v>
      </c>
      <c r="D242">
        <v>51</v>
      </c>
      <c r="E242">
        <v>7</v>
      </c>
      <c r="F242">
        <v>248.37</v>
      </c>
      <c r="G242">
        <v>7</v>
      </c>
      <c r="H242" s="2">
        <v>1</v>
      </c>
      <c r="I242">
        <v>3946.23</v>
      </c>
      <c r="J242">
        <v>2</v>
      </c>
      <c r="K242" s="2">
        <v>0.04</v>
      </c>
    </row>
    <row r="243" spans="1:11" x14ac:dyDescent="0.25">
      <c r="A243" t="s">
        <v>9</v>
      </c>
      <c r="B243" t="s">
        <v>30</v>
      </c>
      <c r="C243" s="1">
        <v>45566</v>
      </c>
      <c r="D243">
        <v>32</v>
      </c>
      <c r="E243">
        <v>16</v>
      </c>
      <c r="F243">
        <v>393.04</v>
      </c>
      <c r="G243">
        <v>7</v>
      </c>
      <c r="H243" s="2">
        <v>0.44</v>
      </c>
      <c r="I243">
        <v>1286.18</v>
      </c>
      <c r="J243">
        <v>1</v>
      </c>
      <c r="K243" s="2">
        <v>0.06</v>
      </c>
    </row>
    <row r="244" spans="1:11" x14ac:dyDescent="0.25">
      <c r="A244" t="s">
        <v>10</v>
      </c>
      <c r="B244" t="s">
        <v>30</v>
      </c>
      <c r="C244" s="1">
        <v>45566</v>
      </c>
      <c r="D244">
        <v>71</v>
      </c>
      <c r="E244">
        <v>16</v>
      </c>
      <c r="F244">
        <v>323.56</v>
      </c>
      <c r="G244">
        <v>9</v>
      </c>
      <c r="H244" s="2">
        <v>0.56000000000000005</v>
      </c>
      <c r="I244">
        <v>957.05</v>
      </c>
      <c r="J244">
        <v>3</v>
      </c>
      <c r="K244" s="2">
        <v>0.03</v>
      </c>
    </row>
    <row r="245" spans="1:11" x14ac:dyDescent="0.25">
      <c r="A245" t="s">
        <v>11</v>
      </c>
      <c r="B245" t="s">
        <v>30</v>
      </c>
      <c r="C245" s="1">
        <v>45566</v>
      </c>
      <c r="D245">
        <v>17</v>
      </c>
      <c r="E245">
        <v>7</v>
      </c>
      <c r="F245">
        <v>205.3</v>
      </c>
      <c r="G245">
        <v>4</v>
      </c>
      <c r="H245" s="2">
        <v>0.56999999999999995</v>
      </c>
      <c r="I245">
        <v>762.2</v>
      </c>
      <c r="J245">
        <v>2</v>
      </c>
      <c r="K245" s="2">
        <v>7.0000000000000007E-2</v>
      </c>
    </row>
    <row r="246" spans="1:11" x14ac:dyDescent="0.25">
      <c r="A246" t="s">
        <v>12</v>
      </c>
      <c r="B246" t="s">
        <v>30</v>
      </c>
      <c r="C246" s="1">
        <v>45566</v>
      </c>
      <c r="D246">
        <v>35</v>
      </c>
      <c r="E246">
        <v>6</v>
      </c>
      <c r="F246">
        <v>544.78</v>
      </c>
      <c r="G246">
        <v>5</v>
      </c>
      <c r="H246" s="2">
        <v>0.83</v>
      </c>
      <c r="I246">
        <v>3420.99</v>
      </c>
      <c r="J246">
        <v>3</v>
      </c>
      <c r="K246" s="2">
        <v>0.04</v>
      </c>
    </row>
    <row r="247" spans="1:11" x14ac:dyDescent="0.25">
      <c r="A247" t="s">
        <v>13</v>
      </c>
      <c r="B247" t="s">
        <v>30</v>
      </c>
      <c r="C247" s="1">
        <v>45566</v>
      </c>
      <c r="D247">
        <v>73</v>
      </c>
      <c r="E247">
        <v>17</v>
      </c>
      <c r="F247">
        <v>557.29999999999995</v>
      </c>
      <c r="G247">
        <v>3</v>
      </c>
      <c r="H247" s="2">
        <v>0.18</v>
      </c>
      <c r="I247">
        <v>376.66</v>
      </c>
      <c r="J247">
        <v>2</v>
      </c>
      <c r="K247" s="2">
        <v>0.03</v>
      </c>
    </row>
    <row r="248" spans="1:11" x14ac:dyDescent="0.25">
      <c r="A248" t="s">
        <v>14</v>
      </c>
      <c r="B248" t="s">
        <v>30</v>
      </c>
      <c r="C248" s="1">
        <v>45566</v>
      </c>
      <c r="D248">
        <v>27</v>
      </c>
      <c r="E248">
        <v>6</v>
      </c>
      <c r="F248">
        <v>202.37</v>
      </c>
      <c r="G248">
        <v>1</v>
      </c>
      <c r="H248" s="2">
        <v>0.17</v>
      </c>
      <c r="I248">
        <v>3781.81</v>
      </c>
      <c r="J248">
        <v>1</v>
      </c>
      <c r="K248" s="2">
        <v>0.04</v>
      </c>
    </row>
    <row r="249" spans="1:11" x14ac:dyDescent="0.25">
      <c r="A249" t="s">
        <v>15</v>
      </c>
      <c r="B249" t="s">
        <v>30</v>
      </c>
      <c r="C249" s="1">
        <v>45566</v>
      </c>
      <c r="D249">
        <v>49</v>
      </c>
      <c r="E249">
        <v>7</v>
      </c>
      <c r="F249">
        <v>204.14</v>
      </c>
      <c r="G249">
        <v>3</v>
      </c>
      <c r="H249" s="2">
        <v>0.43</v>
      </c>
      <c r="I249">
        <v>636.65</v>
      </c>
      <c r="J249">
        <v>3</v>
      </c>
      <c r="K249" s="2">
        <v>0.03</v>
      </c>
    </row>
    <row r="250" spans="1:11" x14ac:dyDescent="0.25">
      <c r="A250" t="s">
        <v>16</v>
      </c>
      <c r="B250" t="s">
        <v>30</v>
      </c>
      <c r="C250" s="1">
        <v>45566</v>
      </c>
      <c r="D250">
        <v>106</v>
      </c>
      <c r="E250">
        <v>5</v>
      </c>
      <c r="F250">
        <v>163.38</v>
      </c>
      <c r="G250">
        <v>1</v>
      </c>
      <c r="H250" s="2">
        <v>0.2</v>
      </c>
      <c r="I250">
        <v>1148.1400000000001</v>
      </c>
      <c r="J250">
        <v>2</v>
      </c>
      <c r="K250" s="2">
        <v>0.08</v>
      </c>
    </row>
    <row r="251" spans="1:11" x14ac:dyDescent="0.25">
      <c r="A251" t="s">
        <v>17</v>
      </c>
      <c r="B251" t="s">
        <v>30</v>
      </c>
      <c r="C251" s="1">
        <v>45566</v>
      </c>
      <c r="D251">
        <v>102</v>
      </c>
      <c r="E251">
        <v>5</v>
      </c>
      <c r="F251">
        <v>86.37</v>
      </c>
      <c r="G251">
        <v>5</v>
      </c>
      <c r="H251" s="2">
        <v>1</v>
      </c>
      <c r="I251">
        <v>3851.19</v>
      </c>
      <c r="J251">
        <v>1</v>
      </c>
      <c r="K251" s="2">
        <v>0.08</v>
      </c>
    </row>
    <row r="252" spans="1:11" x14ac:dyDescent="0.25">
      <c r="A252" t="s">
        <v>18</v>
      </c>
      <c r="B252" t="s">
        <v>30</v>
      </c>
      <c r="C252" s="1">
        <v>45566</v>
      </c>
      <c r="D252">
        <v>21</v>
      </c>
      <c r="E252">
        <v>14</v>
      </c>
      <c r="F252">
        <v>537.36</v>
      </c>
      <c r="G252">
        <v>7</v>
      </c>
      <c r="H252" s="2">
        <v>0.5</v>
      </c>
      <c r="I252">
        <v>3767.78</v>
      </c>
      <c r="J252">
        <v>3</v>
      </c>
      <c r="K252" s="2">
        <v>0.03</v>
      </c>
    </row>
    <row r="253" spans="1:11" x14ac:dyDescent="0.25">
      <c r="A253" t="s">
        <v>19</v>
      </c>
      <c r="B253" t="s">
        <v>30</v>
      </c>
      <c r="C253" s="1">
        <v>45566</v>
      </c>
      <c r="D253">
        <v>104</v>
      </c>
      <c r="E253">
        <v>20</v>
      </c>
      <c r="F253">
        <v>181.9</v>
      </c>
      <c r="G253">
        <v>4</v>
      </c>
      <c r="H253" s="2">
        <v>0.2</v>
      </c>
      <c r="I253">
        <v>400.92</v>
      </c>
      <c r="J253">
        <v>2</v>
      </c>
      <c r="K253" s="2">
        <v>0.1</v>
      </c>
    </row>
    <row r="254" spans="1:11" x14ac:dyDescent="0.25">
      <c r="A254" t="s">
        <v>20</v>
      </c>
      <c r="B254" t="s">
        <v>30</v>
      </c>
      <c r="C254" s="1">
        <v>45566</v>
      </c>
      <c r="D254">
        <v>64</v>
      </c>
      <c r="E254">
        <v>15</v>
      </c>
      <c r="F254">
        <v>514.38</v>
      </c>
      <c r="G254">
        <v>0</v>
      </c>
      <c r="H254" s="2">
        <v>0</v>
      </c>
      <c r="I254">
        <v>1220.5899999999999</v>
      </c>
      <c r="J254">
        <v>1</v>
      </c>
      <c r="K254" s="2">
        <v>0</v>
      </c>
    </row>
    <row r="255" spans="1:11" x14ac:dyDescent="0.25">
      <c r="A255" t="s">
        <v>21</v>
      </c>
      <c r="B255" t="s">
        <v>30</v>
      </c>
      <c r="C255" s="1">
        <v>45566</v>
      </c>
      <c r="D255">
        <v>21</v>
      </c>
      <c r="E255">
        <v>15</v>
      </c>
      <c r="F255">
        <v>309.75</v>
      </c>
      <c r="G255">
        <v>2</v>
      </c>
      <c r="H255" s="2">
        <v>0.13</v>
      </c>
      <c r="I255">
        <v>1649.09</v>
      </c>
      <c r="J255">
        <v>3</v>
      </c>
      <c r="K255" s="2">
        <v>0.05</v>
      </c>
    </row>
    <row r="256" spans="1:11" x14ac:dyDescent="0.25">
      <c r="A256" t="s">
        <v>22</v>
      </c>
      <c r="B256" t="s">
        <v>30</v>
      </c>
      <c r="C256" s="1">
        <v>45566</v>
      </c>
      <c r="D256">
        <v>108</v>
      </c>
      <c r="E256">
        <v>6</v>
      </c>
      <c r="F256">
        <v>515.27</v>
      </c>
      <c r="G256">
        <v>2</v>
      </c>
      <c r="H256" s="2">
        <v>0.33</v>
      </c>
      <c r="I256">
        <v>3183.87</v>
      </c>
      <c r="J256">
        <v>2</v>
      </c>
      <c r="K256" s="2">
        <v>0.03</v>
      </c>
    </row>
    <row r="257" spans="1:11" x14ac:dyDescent="0.25">
      <c r="A257" t="s">
        <v>23</v>
      </c>
      <c r="B257" t="s">
        <v>30</v>
      </c>
      <c r="C257" s="1">
        <v>45566</v>
      </c>
      <c r="D257">
        <v>63</v>
      </c>
      <c r="E257">
        <v>10</v>
      </c>
      <c r="F257">
        <v>194.21</v>
      </c>
      <c r="G257">
        <v>7</v>
      </c>
      <c r="H257" s="2">
        <v>0.7</v>
      </c>
      <c r="I257">
        <v>508.84</v>
      </c>
      <c r="J257">
        <v>1</v>
      </c>
      <c r="K257" s="2">
        <v>0.09</v>
      </c>
    </row>
    <row r="258" spans="1:11" x14ac:dyDescent="0.25">
      <c r="A258" t="s">
        <v>24</v>
      </c>
      <c r="B258" t="s">
        <v>30</v>
      </c>
      <c r="C258" s="1">
        <v>45566</v>
      </c>
      <c r="D258">
        <v>85</v>
      </c>
      <c r="E258">
        <v>15</v>
      </c>
      <c r="F258">
        <v>400.65</v>
      </c>
      <c r="G258">
        <v>0</v>
      </c>
      <c r="H258" s="2">
        <v>0</v>
      </c>
      <c r="I258">
        <v>2890.62</v>
      </c>
      <c r="J258">
        <v>1</v>
      </c>
      <c r="K258" s="2">
        <v>0.02</v>
      </c>
    </row>
    <row r="259" spans="1:11" x14ac:dyDescent="0.25">
      <c r="A259" t="s">
        <v>26</v>
      </c>
      <c r="B259" t="s">
        <v>30</v>
      </c>
      <c r="C259" s="1">
        <v>45566</v>
      </c>
      <c r="D259">
        <v>36</v>
      </c>
      <c r="E259">
        <v>10</v>
      </c>
      <c r="F259">
        <v>535.44000000000005</v>
      </c>
      <c r="G259">
        <v>4</v>
      </c>
      <c r="H259" s="2">
        <v>0.4</v>
      </c>
      <c r="I259">
        <v>241.26</v>
      </c>
      <c r="J259">
        <v>3</v>
      </c>
      <c r="K259" s="2">
        <v>0.06</v>
      </c>
    </row>
    <row r="260" spans="1:11" x14ac:dyDescent="0.25">
      <c r="A260" t="s">
        <v>27</v>
      </c>
      <c r="B260" t="s">
        <v>30</v>
      </c>
      <c r="C260" s="1">
        <v>45566</v>
      </c>
      <c r="D260">
        <v>34</v>
      </c>
      <c r="E260">
        <v>12</v>
      </c>
      <c r="F260">
        <v>356.4</v>
      </c>
      <c r="G260">
        <v>8</v>
      </c>
      <c r="H260" s="2">
        <v>0.67</v>
      </c>
      <c r="I260">
        <v>4111.76</v>
      </c>
      <c r="J260">
        <v>2</v>
      </c>
      <c r="K260" s="2">
        <v>0.08</v>
      </c>
    </row>
    <row r="261" spans="1:11" x14ac:dyDescent="0.25">
      <c r="A261" t="s">
        <v>0</v>
      </c>
      <c r="B261" t="s">
        <v>30</v>
      </c>
      <c r="C261" s="1">
        <v>45597</v>
      </c>
      <c r="D261">
        <v>67</v>
      </c>
      <c r="E261">
        <v>12</v>
      </c>
      <c r="F261">
        <v>352.6</v>
      </c>
      <c r="G261">
        <v>6</v>
      </c>
      <c r="H261" s="2">
        <v>0.5</v>
      </c>
      <c r="I261">
        <v>4402.41</v>
      </c>
      <c r="J261">
        <v>1</v>
      </c>
      <c r="K261" s="2">
        <v>0.03</v>
      </c>
    </row>
    <row r="262" spans="1:11" x14ac:dyDescent="0.25">
      <c r="A262" t="s">
        <v>2</v>
      </c>
      <c r="B262" t="s">
        <v>30</v>
      </c>
      <c r="C262" s="1">
        <v>45597</v>
      </c>
      <c r="D262">
        <v>76</v>
      </c>
      <c r="E262">
        <v>14</v>
      </c>
      <c r="F262">
        <v>351.42</v>
      </c>
      <c r="G262">
        <v>4</v>
      </c>
      <c r="H262" s="2">
        <v>0.28999999999999998</v>
      </c>
      <c r="I262">
        <v>3917.99</v>
      </c>
      <c r="J262">
        <v>3</v>
      </c>
      <c r="K262" s="2">
        <v>0.04</v>
      </c>
    </row>
    <row r="263" spans="1:11" x14ac:dyDescent="0.25">
      <c r="A263" t="s">
        <v>3</v>
      </c>
      <c r="B263" t="s">
        <v>30</v>
      </c>
      <c r="C263" s="1">
        <v>45597</v>
      </c>
      <c r="D263">
        <v>53</v>
      </c>
      <c r="E263">
        <v>17</v>
      </c>
      <c r="F263">
        <v>404.22</v>
      </c>
      <c r="G263">
        <v>2</v>
      </c>
      <c r="H263" s="2">
        <v>0.12</v>
      </c>
      <c r="I263">
        <v>3669.4</v>
      </c>
      <c r="J263">
        <v>2</v>
      </c>
      <c r="K263" s="2">
        <v>0.04</v>
      </c>
    </row>
    <row r="264" spans="1:11" x14ac:dyDescent="0.25">
      <c r="A264" t="s">
        <v>4</v>
      </c>
      <c r="B264" t="s">
        <v>30</v>
      </c>
      <c r="C264" s="1">
        <v>45597</v>
      </c>
      <c r="D264">
        <v>22</v>
      </c>
      <c r="E264">
        <v>6</v>
      </c>
      <c r="F264">
        <v>80.02</v>
      </c>
      <c r="G264">
        <v>3</v>
      </c>
      <c r="H264" s="2">
        <v>0.5</v>
      </c>
      <c r="I264">
        <v>1476.69</v>
      </c>
      <c r="J264">
        <v>1</v>
      </c>
      <c r="K264" s="2">
        <v>0.03</v>
      </c>
    </row>
    <row r="265" spans="1:11" x14ac:dyDescent="0.25">
      <c r="A265" t="s">
        <v>5</v>
      </c>
      <c r="B265" t="s">
        <v>30</v>
      </c>
      <c r="C265" s="1">
        <v>45597</v>
      </c>
      <c r="D265">
        <v>77</v>
      </c>
      <c r="E265">
        <v>16</v>
      </c>
      <c r="F265">
        <v>502.41</v>
      </c>
      <c r="G265">
        <v>5</v>
      </c>
      <c r="H265" s="2">
        <v>0.31</v>
      </c>
      <c r="I265">
        <v>1093.75</v>
      </c>
      <c r="J265">
        <v>3</v>
      </c>
      <c r="K265" s="2">
        <v>0.04</v>
      </c>
    </row>
    <row r="266" spans="1:11" x14ac:dyDescent="0.25">
      <c r="A266" t="s">
        <v>6</v>
      </c>
      <c r="B266" t="s">
        <v>30</v>
      </c>
      <c r="C266" s="1">
        <v>45597</v>
      </c>
      <c r="D266">
        <v>52</v>
      </c>
      <c r="E266">
        <v>6</v>
      </c>
      <c r="F266">
        <v>492.23</v>
      </c>
      <c r="G266">
        <v>2</v>
      </c>
      <c r="H266" s="2">
        <v>0.33</v>
      </c>
      <c r="I266">
        <v>3775.84</v>
      </c>
      <c r="J266">
        <v>2</v>
      </c>
      <c r="K266" s="2">
        <v>0.01</v>
      </c>
    </row>
    <row r="267" spans="1:11" x14ac:dyDescent="0.25">
      <c r="A267" t="s">
        <v>7</v>
      </c>
      <c r="B267" t="s">
        <v>30</v>
      </c>
      <c r="C267" s="1">
        <v>45597</v>
      </c>
      <c r="D267">
        <v>74</v>
      </c>
      <c r="E267">
        <v>17</v>
      </c>
      <c r="F267">
        <v>284.91000000000003</v>
      </c>
      <c r="G267">
        <v>3</v>
      </c>
      <c r="H267" s="2">
        <v>0.18</v>
      </c>
      <c r="I267">
        <v>2481.64</v>
      </c>
      <c r="J267">
        <v>1</v>
      </c>
      <c r="K267" s="2">
        <v>0.09</v>
      </c>
    </row>
    <row r="268" spans="1:11" x14ac:dyDescent="0.25">
      <c r="A268" t="s">
        <v>8</v>
      </c>
      <c r="B268" t="s">
        <v>30</v>
      </c>
      <c r="C268" s="1">
        <v>45597</v>
      </c>
      <c r="D268">
        <v>50</v>
      </c>
      <c r="E268">
        <v>9</v>
      </c>
      <c r="F268">
        <v>237.95</v>
      </c>
      <c r="G268">
        <v>5</v>
      </c>
      <c r="H268" s="2">
        <v>0.56000000000000005</v>
      </c>
      <c r="I268">
        <v>3982.36</v>
      </c>
      <c r="J268">
        <v>3</v>
      </c>
      <c r="K268" s="2">
        <v>0.04</v>
      </c>
    </row>
    <row r="269" spans="1:11" x14ac:dyDescent="0.25">
      <c r="A269" t="s">
        <v>9</v>
      </c>
      <c r="B269" t="s">
        <v>30</v>
      </c>
      <c r="C269" s="1">
        <v>45597</v>
      </c>
      <c r="D269">
        <v>30</v>
      </c>
      <c r="E269">
        <v>21</v>
      </c>
      <c r="F269">
        <v>372.34</v>
      </c>
      <c r="G269">
        <v>7</v>
      </c>
      <c r="H269" s="2">
        <v>0.33</v>
      </c>
      <c r="I269">
        <v>1172.04</v>
      </c>
      <c r="J269">
        <v>2</v>
      </c>
      <c r="K269" s="2">
        <v>0.05</v>
      </c>
    </row>
    <row r="270" spans="1:11" x14ac:dyDescent="0.25">
      <c r="A270" t="s">
        <v>10</v>
      </c>
      <c r="B270" t="s">
        <v>30</v>
      </c>
      <c r="C270" s="1">
        <v>45597</v>
      </c>
      <c r="D270">
        <v>74</v>
      </c>
      <c r="E270">
        <v>13</v>
      </c>
      <c r="F270">
        <v>324.77999999999997</v>
      </c>
      <c r="G270">
        <v>7</v>
      </c>
      <c r="H270" s="2">
        <v>0.54</v>
      </c>
      <c r="I270">
        <v>995.6</v>
      </c>
      <c r="J270">
        <v>1</v>
      </c>
      <c r="K270" s="2">
        <v>0.03</v>
      </c>
    </row>
    <row r="271" spans="1:11" x14ac:dyDescent="0.25">
      <c r="A271" t="s">
        <v>11</v>
      </c>
      <c r="B271" t="s">
        <v>30</v>
      </c>
      <c r="C271" s="1">
        <v>45597</v>
      </c>
      <c r="D271">
        <v>23</v>
      </c>
      <c r="E271">
        <v>7</v>
      </c>
      <c r="F271">
        <v>190.12</v>
      </c>
      <c r="G271">
        <v>4</v>
      </c>
      <c r="H271" s="2">
        <v>0.56999999999999995</v>
      </c>
      <c r="I271">
        <v>788.65</v>
      </c>
      <c r="J271">
        <v>3</v>
      </c>
      <c r="K271" s="2">
        <v>7.0000000000000007E-2</v>
      </c>
    </row>
    <row r="272" spans="1:11" x14ac:dyDescent="0.25">
      <c r="A272" t="s">
        <v>12</v>
      </c>
      <c r="B272" t="s">
        <v>30</v>
      </c>
      <c r="C272" s="1">
        <v>45597</v>
      </c>
      <c r="D272">
        <v>32</v>
      </c>
      <c r="E272">
        <v>7</v>
      </c>
      <c r="F272">
        <v>563.41999999999996</v>
      </c>
      <c r="G272">
        <v>6</v>
      </c>
      <c r="H272" s="2">
        <v>0.86</v>
      </c>
      <c r="I272">
        <v>3543.71</v>
      </c>
      <c r="J272">
        <v>2</v>
      </c>
      <c r="K272" s="2">
        <v>0.04</v>
      </c>
    </row>
    <row r="273" spans="1:11" x14ac:dyDescent="0.25">
      <c r="A273" t="s">
        <v>13</v>
      </c>
      <c r="B273" t="s">
        <v>30</v>
      </c>
      <c r="C273" s="1">
        <v>45597</v>
      </c>
      <c r="D273">
        <v>59</v>
      </c>
      <c r="E273">
        <v>21</v>
      </c>
      <c r="F273">
        <v>633.37</v>
      </c>
      <c r="G273">
        <v>2</v>
      </c>
      <c r="H273" s="2">
        <v>0.1</v>
      </c>
      <c r="I273">
        <v>358.29</v>
      </c>
      <c r="J273">
        <v>1</v>
      </c>
      <c r="K273" s="2">
        <v>0.03</v>
      </c>
    </row>
    <row r="274" spans="1:11" x14ac:dyDescent="0.25">
      <c r="A274" t="s">
        <v>14</v>
      </c>
      <c r="B274" t="s">
        <v>30</v>
      </c>
      <c r="C274" s="1">
        <v>45597</v>
      </c>
      <c r="D274">
        <v>30</v>
      </c>
      <c r="E274">
        <v>6</v>
      </c>
      <c r="F274">
        <v>209.84</v>
      </c>
      <c r="G274">
        <v>1</v>
      </c>
      <c r="H274" s="2">
        <v>0.17</v>
      </c>
      <c r="I274">
        <v>3534.1</v>
      </c>
      <c r="J274">
        <v>3</v>
      </c>
      <c r="K274" s="2">
        <v>0.04</v>
      </c>
    </row>
    <row r="275" spans="1:11" x14ac:dyDescent="0.25">
      <c r="A275" t="s">
        <v>15</v>
      </c>
      <c r="B275" t="s">
        <v>30</v>
      </c>
      <c r="C275" s="1">
        <v>45597</v>
      </c>
      <c r="D275">
        <v>65</v>
      </c>
      <c r="E275">
        <v>9</v>
      </c>
      <c r="F275">
        <v>220.46</v>
      </c>
      <c r="G275">
        <v>3</v>
      </c>
      <c r="H275" s="2">
        <v>0.33</v>
      </c>
      <c r="I275">
        <v>707.75</v>
      </c>
      <c r="J275">
        <v>2</v>
      </c>
      <c r="K275" s="2">
        <v>0.03</v>
      </c>
    </row>
    <row r="276" spans="1:11" x14ac:dyDescent="0.25">
      <c r="A276" t="s">
        <v>16</v>
      </c>
      <c r="B276" t="s">
        <v>30</v>
      </c>
      <c r="C276" s="1">
        <v>45597</v>
      </c>
      <c r="D276">
        <v>100</v>
      </c>
      <c r="E276">
        <v>6</v>
      </c>
      <c r="F276">
        <v>153.34</v>
      </c>
      <c r="G276">
        <v>3</v>
      </c>
      <c r="H276" s="2">
        <v>0.5</v>
      </c>
      <c r="I276">
        <v>1248.54</v>
      </c>
      <c r="J276">
        <v>1</v>
      </c>
      <c r="K276" s="2">
        <v>0.08</v>
      </c>
    </row>
    <row r="277" spans="1:11" x14ac:dyDescent="0.25">
      <c r="A277" t="s">
        <v>17</v>
      </c>
      <c r="B277" t="s">
        <v>30</v>
      </c>
      <c r="C277" s="1">
        <v>45597</v>
      </c>
      <c r="D277">
        <v>81</v>
      </c>
      <c r="E277">
        <v>7</v>
      </c>
      <c r="F277">
        <v>79.62</v>
      </c>
      <c r="G277">
        <v>7</v>
      </c>
      <c r="H277" s="2">
        <v>1</v>
      </c>
      <c r="I277">
        <v>3892.76</v>
      </c>
      <c r="J277">
        <v>3</v>
      </c>
      <c r="K277" s="2">
        <v>0.1</v>
      </c>
    </row>
    <row r="278" spans="1:11" x14ac:dyDescent="0.25">
      <c r="A278" t="s">
        <v>18</v>
      </c>
      <c r="B278" t="s">
        <v>30</v>
      </c>
      <c r="C278" s="1">
        <v>45597</v>
      </c>
      <c r="D278">
        <v>26</v>
      </c>
      <c r="E278">
        <v>17</v>
      </c>
      <c r="F278">
        <v>504.54</v>
      </c>
      <c r="G278">
        <v>8</v>
      </c>
      <c r="H278" s="2">
        <v>0.47</v>
      </c>
      <c r="I278">
        <v>3359.77</v>
      </c>
      <c r="J278">
        <v>2</v>
      </c>
      <c r="K278" s="2">
        <v>0.03</v>
      </c>
    </row>
    <row r="279" spans="1:11" x14ac:dyDescent="0.25">
      <c r="A279" t="s">
        <v>19</v>
      </c>
      <c r="B279" t="s">
        <v>30</v>
      </c>
      <c r="C279" s="1">
        <v>45597</v>
      </c>
      <c r="D279">
        <v>96</v>
      </c>
      <c r="E279">
        <v>16</v>
      </c>
      <c r="F279">
        <v>161.69</v>
      </c>
      <c r="G279">
        <v>5</v>
      </c>
      <c r="H279" s="2">
        <v>0.31</v>
      </c>
      <c r="I279">
        <v>392.05</v>
      </c>
      <c r="J279">
        <v>1</v>
      </c>
      <c r="K279" s="2">
        <v>0.1</v>
      </c>
    </row>
    <row r="280" spans="1:11" x14ac:dyDescent="0.25">
      <c r="A280" t="s">
        <v>20</v>
      </c>
      <c r="B280" t="s">
        <v>30</v>
      </c>
      <c r="C280" s="1">
        <v>45597</v>
      </c>
      <c r="D280">
        <v>72</v>
      </c>
      <c r="E280">
        <v>12</v>
      </c>
      <c r="F280">
        <v>474.28</v>
      </c>
      <c r="G280">
        <v>1</v>
      </c>
      <c r="H280" s="2">
        <v>0.08</v>
      </c>
      <c r="I280">
        <v>1097.5999999999999</v>
      </c>
      <c r="J280">
        <v>3</v>
      </c>
      <c r="K280" s="2">
        <v>0</v>
      </c>
    </row>
    <row r="281" spans="1:11" x14ac:dyDescent="0.25">
      <c r="A281" t="s">
        <v>21</v>
      </c>
      <c r="B281" t="s">
        <v>30</v>
      </c>
      <c r="C281" s="1">
        <v>45597</v>
      </c>
      <c r="D281">
        <v>18</v>
      </c>
      <c r="E281">
        <v>15</v>
      </c>
      <c r="F281">
        <v>268.94</v>
      </c>
      <c r="G281">
        <v>1</v>
      </c>
      <c r="H281" s="2">
        <v>7.0000000000000007E-2</v>
      </c>
      <c r="I281">
        <v>1469.71</v>
      </c>
      <c r="J281">
        <v>2</v>
      </c>
      <c r="K281" s="2">
        <v>0.05</v>
      </c>
    </row>
    <row r="282" spans="1:11" x14ac:dyDescent="0.25">
      <c r="A282" t="s">
        <v>22</v>
      </c>
      <c r="B282" t="s">
        <v>30</v>
      </c>
      <c r="C282" s="1">
        <v>45597</v>
      </c>
      <c r="D282">
        <v>87</v>
      </c>
      <c r="E282">
        <v>5</v>
      </c>
      <c r="F282">
        <v>601.28</v>
      </c>
      <c r="G282">
        <v>2</v>
      </c>
      <c r="H282" s="2">
        <v>0.4</v>
      </c>
      <c r="I282">
        <v>3491.19</v>
      </c>
      <c r="J282">
        <v>1</v>
      </c>
      <c r="K282" s="2">
        <v>0.03</v>
      </c>
    </row>
    <row r="283" spans="1:11" x14ac:dyDescent="0.25">
      <c r="A283" t="s">
        <v>23</v>
      </c>
      <c r="B283" t="s">
        <v>30</v>
      </c>
      <c r="C283" s="1">
        <v>45597</v>
      </c>
      <c r="D283">
        <v>73</v>
      </c>
      <c r="E283">
        <v>8</v>
      </c>
      <c r="F283">
        <v>182.48</v>
      </c>
      <c r="G283">
        <v>8</v>
      </c>
      <c r="H283" s="2">
        <v>1</v>
      </c>
      <c r="I283">
        <v>548.46</v>
      </c>
      <c r="J283">
        <v>1</v>
      </c>
      <c r="K283" s="2">
        <v>0.09</v>
      </c>
    </row>
    <row r="284" spans="1:11" x14ac:dyDescent="0.25">
      <c r="A284" t="s">
        <v>24</v>
      </c>
      <c r="B284" t="s">
        <v>30</v>
      </c>
      <c r="C284" s="1">
        <v>45597</v>
      </c>
      <c r="D284">
        <v>97</v>
      </c>
      <c r="E284">
        <v>14</v>
      </c>
      <c r="F284">
        <v>368.16</v>
      </c>
      <c r="G284">
        <v>0</v>
      </c>
      <c r="H284" s="2">
        <v>0</v>
      </c>
      <c r="I284">
        <v>3020.19</v>
      </c>
      <c r="J284">
        <v>3</v>
      </c>
      <c r="K284" s="2">
        <v>0.03</v>
      </c>
    </row>
    <row r="285" spans="1:11" x14ac:dyDescent="0.25">
      <c r="A285" t="s">
        <v>26</v>
      </c>
      <c r="B285" t="s">
        <v>30</v>
      </c>
      <c r="C285" s="1">
        <v>45597</v>
      </c>
      <c r="D285">
        <v>28</v>
      </c>
      <c r="E285">
        <v>12</v>
      </c>
      <c r="F285">
        <v>565.51</v>
      </c>
      <c r="G285">
        <v>4</v>
      </c>
      <c r="H285" s="2">
        <v>0.33</v>
      </c>
      <c r="I285">
        <v>231.16</v>
      </c>
      <c r="J285">
        <v>2</v>
      </c>
      <c r="K285" s="2">
        <v>0.06</v>
      </c>
    </row>
    <row r="286" spans="1:11" x14ac:dyDescent="0.25">
      <c r="A286" t="s">
        <v>27</v>
      </c>
      <c r="B286" t="s">
        <v>30</v>
      </c>
      <c r="C286" s="1">
        <v>45597</v>
      </c>
      <c r="D286">
        <v>41</v>
      </c>
      <c r="E286">
        <v>13</v>
      </c>
      <c r="F286">
        <v>370.44</v>
      </c>
      <c r="G286">
        <v>9</v>
      </c>
      <c r="H286" s="2">
        <v>0.69</v>
      </c>
      <c r="I286">
        <v>4484.96</v>
      </c>
      <c r="J286">
        <v>1</v>
      </c>
      <c r="K286" s="2">
        <v>0.09</v>
      </c>
    </row>
    <row r="287" spans="1:11" x14ac:dyDescent="0.25">
      <c r="A287" t="s">
        <v>0</v>
      </c>
      <c r="B287" t="s">
        <v>30</v>
      </c>
      <c r="C287" s="1">
        <v>45627</v>
      </c>
      <c r="D287">
        <v>61</v>
      </c>
      <c r="E287">
        <v>13</v>
      </c>
      <c r="F287">
        <v>356.61</v>
      </c>
      <c r="G287">
        <v>7</v>
      </c>
      <c r="H287" s="2">
        <v>0.54</v>
      </c>
      <c r="I287">
        <v>4099.6400000000003</v>
      </c>
      <c r="J287">
        <v>3</v>
      </c>
      <c r="K287" s="2">
        <v>0.03</v>
      </c>
    </row>
    <row r="288" spans="1:11" x14ac:dyDescent="0.25">
      <c r="A288" t="s">
        <v>2</v>
      </c>
      <c r="B288" t="s">
        <v>30</v>
      </c>
      <c r="C288" s="1">
        <v>45627</v>
      </c>
      <c r="D288">
        <v>80</v>
      </c>
      <c r="E288">
        <v>13</v>
      </c>
      <c r="F288">
        <v>369.46</v>
      </c>
      <c r="G288">
        <v>4</v>
      </c>
      <c r="H288" s="2">
        <v>0.31</v>
      </c>
      <c r="I288">
        <v>3996.04</v>
      </c>
      <c r="J288">
        <v>2</v>
      </c>
      <c r="K288" s="2">
        <v>0.04</v>
      </c>
    </row>
    <row r="289" spans="1:11" x14ac:dyDescent="0.25">
      <c r="A289" t="s">
        <v>3</v>
      </c>
      <c r="B289" t="s">
        <v>30</v>
      </c>
      <c r="C289" s="1">
        <v>45627</v>
      </c>
      <c r="D289">
        <v>51</v>
      </c>
      <c r="E289">
        <v>14</v>
      </c>
      <c r="F289">
        <v>419.93</v>
      </c>
      <c r="G289">
        <v>2</v>
      </c>
      <c r="H289" s="2">
        <v>0.14000000000000001</v>
      </c>
      <c r="I289">
        <v>3543.6</v>
      </c>
      <c r="J289">
        <v>1</v>
      </c>
      <c r="K289" s="2">
        <v>0.05</v>
      </c>
    </row>
    <row r="290" spans="1:11" x14ac:dyDescent="0.25">
      <c r="A290" t="s">
        <v>4</v>
      </c>
      <c r="B290" t="s">
        <v>30</v>
      </c>
      <c r="C290" s="1">
        <v>45627</v>
      </c>
      <c r="D290">
        <v>20</v>
      </c>
      <c r="E290">
        <v>5</v>
      </c>
      <c r="F290">
        <v>71.41</v>
      </c>
      <c r="G290">
        <v>3</v>
      </c>
      <c r="H290" s="2">
        <v>0.6</v>
      </c>
      <c r="I290">
        <v>1527.27</v>
      </c>
      <c r="J290">
        <v>3</v>
      </c>
      <c r="K290" s="2">
        <v>0.03</v>
      </c>
    </row>
    <row r="291" spans="1:11" x14ac:dyDescent="0.25">
      <c r="A291" t="s">
        <v>5</v>
      </c>
      <c r="B291" t="s">
        <v>30</v>
      </c>
      <c r="C291" s="1">
        <v>45627</v>
      </c>
      <c r="D291">
        <v>101</v>
      </c>
      <c r="E291">
        <v>14</v>
      </c>
      <c r="F291">
        <v>503.93</v>
      </c>
      <c r="G291">
        <v>5</v>
      </c>
      <c r="H291" s="2">
        <v>0.36</v>
      </c>
      <c r="I291">
        <v>1116.6099999999999</v>
      </c>
      <c r="J291">
        <v>2</v>
      </c>
      <c r="K291" s="2">
        <v>0.04</v>
      </c>
    </row>
    <row r="292" spans="1:11" x14ac:dyDescent="0.25">
      <c r="A292" t="s">
        <v>6</v>
      </c>
      <c r="B292" t="s">
        <v>30</v>
      </c>
      <c r="C292" s="1">
        <v>45627</v>
      </c>
      <c r="D292">
        <v>70</v>
      </c>
      <c r="E292">
        <v>6</v>
      </c>
      <c r="F292">
        <v>488.97</v>
      </c>
      <c r="G292">
        <v>3</v>
      </c>
      <c r="H292" s="2">
        <v>0.5</v>
      </c>
      <c r="I292">
        <v>3767.09</v>
      </c>
      <c r="J292">
        <v>1</v>
      </c>
      <c r="K292" s="2">
        <v>0.01</v>
      </c>
    </row>
    <row r="293" spans="1:11" x14ac:dyDescent="0.25">
      <c r="A293" t="s">
        <v>7</v>
      </c>
      <c r="B293" t="s">
        <v>30</v>
      </c>
      <c r="C293" s="1">
        <v>45627</v>
      </c>
      <c r="D293">
        <v>84</v>
      </c>
      <c r="E293">
        <v>19</v>
      </c>
      <c r="F293">
        <v>301.2</v>
      </c>
      <c r="G293">
        <v>2</v>
      </c>
      <c r="H293" s="2">
        <v>0.11</v>
      </c>
      <c r="I293">
        <v>2608.4699999999998</v>
      </c>
      <c r="J293">
        <v>3</v>
      </c>
      <c r="K293" s="2">
        <v>0.1</v>
      </c>
    </row>
    <row r="294" spans="1:11" x14ac:dyDescent="0.25">
      <c r="A294" t="s">
        <v>8</v>
      </c>
      <c r="B294" t="s">
        <v>30</v>
      </c>
      <c r="C294" s="1">
        <v>45627</v>
      </c>
      <c r="D294">
        <v>50</v>
      </c>
      <c r="E294">
        <v>6</v>
      </c>
      <c r="F294">
        <v>219.19</v>
      </c>
      <c r="G294">
        <v>4</v>
      </c>
      <c r="H294" s="2">
        <v>0.67</v>
      </c>
      <c r="I294">
        <v>3836.95</v>
      </c>
      <c r="J294">
        <v>2</v>
      </c>
      <c r="K294" s="2">
        <v>0.04</v>
      </c>
    </row>
    <row r="295" spans="1:11" x14ac:dyDescent="0.25">
      <c r="A295" t="s">
        <v>9</v>
      </c>
      <c r="B295" t="s">
        <v>30</v>
      </c>
      <c r="C295" s="1">
        <v>45627</v>
      </c>
      <c r="D295">
        <v>28</v>
      </c>
      <c r="E295">
        <v>19</v>
      </c>
      <c r="F295">
        <v>352.06</v>
      </c>
      <c r="G295">
        <v>9</v>
      </c>
      <c r="H295" s="2">
        <v>0.47</v>
      </c>
      <c r="I295">
        <v>1107.51</v>
      </c>
      <c r="J295">
        <v>3</v>
      </c>
      <c r="K295" s="2">
        <v>0.06</v>
      </c>
    </row>
    <row r="296" spans="1:11" x14ac:dyDescent="0.25">
      <c r="A296" t="s">
        <v>10</v>
      </c>
      <c r="B296" t="s">
        <v>30</v>
      </c>
      <c r="C296" s="1">
        <v>45627</v>
      </c>
      <c r="D296">
        <v>69</v>
      </c>
      <c r="E296">
        <v>16</v>
      </c>
      <c r="F296">
        <v>337.7</v>
      </c>
      <c r="G296">
        <v>9</v>
      </c>
      <c r="H296" s="2">
        <v>0.56000000000000005</v>
      </c>
      <c r="I296">
        <v>947.47</v>
      </c>
      <c r="J296">
        <v>2</v>
      </c>
      <c r="K296" s="2">
        <v>0.04</v>
      </c>
    </row>
    <row r="297" spans="1:11" x14ac:dyDescent="0.25">
      <c r="A297" t="s">
        <v>11</v>
      </c>
      <c r="B297" t="s">
        <v>30</v>
      </c>
      <c r="C297" s="1">
        <v>45627</v>
      </c>
      <c r="D297">
        <v>18</v>
      </c>
      <c r="E297">
        <v>6</v>
      </c>
      <c r="F297">
        <v>212.39</v>
      </c>
      <c r="G297">
        <v>3</v>
      </c>
      <c r="H297" s="2">
        <v>0.5</v>
      </c>
      <c r="I297">
        <v>730.81</v>
      </c>
      <c r="J297">
        <v>1</v>
      </c>
      <c r="K297" s="2">
        <v>0.09</v>
      </c>
    </row>
    <row r="298" spans="1:11" x14ac:dyDescent="0.25">
      <c r="A298" t="s">
        <v>12</v>
      </c>
      <c r="B298" t="s">
        <v>30</v>
      </c>
      <c r="C298" s="1">
        <v>45627</v>
      </c>
      <c r="D298">
        <v>40</v>
      </c>
      <c r="E298">
        <v>7</v>
      </c>
      <c r="F298">
        <v>486.93</v>
      </c>
      <c r="G298">
        <v>7</v>
      </c>
      <c r="H298" s="2">
        <v>1</v>
      </c>
      <c r="I298">
        <v>3643.63</v>
      </c>
      <c r="J298">
        <v>3</v>
      </c>
      <c r="K298" s="2">
        <v>0.04</v>
      </c>
    </row>
    <row r="299" spans="1:11" x14ac:dyDescent="0.25">
      <c r="A299" t="s">
        <v>13</v>
      </c>
      <c r="B299" t="s">
        <v>30</v>
      </c>
      <c r="C299" s="1">
        <v>45627</v>
      </c>
      <c r="D299">
        <v>77</v>
      </c>
      <c r="E299">
        <v>16</v>
      </c>
      <c r="F299">
        <v>539.26</v>
      </c>
      <c r="G299">
        <v>3</v>
      </c>
      <c r="H299" s="2">
        <v>0.19</v>
      </c>
      <c r="I299">
        <v>379.83</v>
      </c>
      <c r="J299">
        <v>2</v>
      </c>
      <c r="K299" s="2">
        <v>0.04</v>
      </c>
    </row>
    <row r="300" spans="1:11" x14ac:dyDescent="0.25">
      <c r="A300" t="s">
        <v>14</v>
      </c>
      <c r="B300" t="s">
        <v>30</v>
      </c>
      <c r="C300" s="1">
        <v>45627</v>
      </c>
      <c r="D300">
        <v>31</v>
      </c>
      <c r="E300">
        <v>6</v>
      </c>
      <c r="F300">
        <v>191.66</v>
      </c>
      <c r="G300">
        <v>2</v>
      </c>
      <c r="H300" s="2">
        <v>0.33</v>
      </c>
      <c r="I300">
        <v>3753.06</v>
      </c>
      <c r="J300">
        <v>1</v>
      </c>
      <c r="K300" s="2">
        <v>0.04</v>
      </c>
    </row>
    <row r="301" spans="1:11" x14ac:dyDescent="0.25">
      <c r="A301" t="s">
        <v>15</v>
      </c>
      <c r="B301" t="s">
        <v>30</v>
      </c>
      <c r="C301" s="1">
        <v>45627</v>
      </c>
      <c r="D301">
        <v>57</v>
      </c>
      <c r="E301">
        <v>7</v>
      </c>
      <c r="F301">
        <v>190.08</v>
      </c>
      <c r="G301">
        <v>2</v>
      </c>
      <c r="H301" s="2">
        <v>0.28999999999999998</v>
      </c>
      <c r="I301">
        <v>649.97</v>
      </c>
      <c r="J301">
        <v>3</v>
      </c>
      <c r="K301" s="2">
        <v>0.03</v>
      </c>
    </row>
    <row r="302" spans="1:11" x14ac:dyDescent="0.25">
      <c r="A302" t="s">
        <v>16</v>
      </c>
      <c r="B302" t="s">
        <v>30</v>
      </c>
      <c r="C302" s="1">
        <v>45627</v>
      </c>
      <c r="D302">
        <v>88</v>
      </c>
      <c r="E302">
        <v>5</v>
      </c>
      <c r="F302">
        <v>168.89</v>
      </c>
      <c r="G302">
        <v>3</v>
      </c>
      <c r="H302" s="2">
        <v>0.6</v>
      </c>
      <c r="I302">
        <v>1153.93</v>
      </c>
      <c r="J302">
        <v>2</v>
      </c>
      <c r="K302" s="2">
        <v>0.08</v>
      </c>
    </row>
    <row r="303" spans="1:11" x14ac:dyDescent="0.25">
      <c r="A303" t="s">
        <v>17</v>
      </c>
      <c r="B303" t="s">
        <v>30</v>
      </c>
      <c r="C303" s="1">
        <v>45627</v>
      </c>
      <c r="D303">
        <v>74</v>
      </c>
      <c r="E303">
        <v>6</v>
      </c>
      <c r="F303">
        <v>87.83</v>
      </c>
      <c r="G303">
        <v>6</v>
      </c>
      <c r="H303" s="2">
        <v>1</v>
      </c>
      <c r="I303">
        <v>3741.27</v>
      </c>
      <c r="J303">
        <v>1</v>
      </c>
      <c r="K303" s="2">
        <v>0.1</v>
      </c>
    </row>
    <row r="304" spans="1:11" x14ac:dyDescent="0.25">
      <c r="A304" t="s">
        <v>18</v>
      </c>
      <c r="B304" t="s">
        <v>30</v>
      </c>
      <c r="C304" s="1">
        <v>45627</v>
      </c>
      <c r="D304">
        <v>26</v>
      </c>
      <c r="E304">
        <v>13</v>
      </c>
      <c r="F304">
        <v>543.15</v>
      </c>
      <c r="G304">
        <v>6</v>
      </c>
      <c r="H304" s="2">
        <v>0.46</v>
      </c>
      <c r="I304">
        <v>3793.56</v>
      </c>
      <c r="J304">
        <v>3</v>
      </c>
      <c r="K304" s="2">
        <v>0.04</v>
      </c>
    </row>
    <row r="305" spans="1:11" x14ac:dyDescent="0.25">
      <c r="A305" t="s">
        <v>19</v>
      </c>
      <c r="B305" t="s">
        <v>30</v>
      </c>
      <c r="C305" s="1">
        <v>45627</v>
      </c>
      <c r="D305">
        <v>99</v>
      </c>
      <c r="E305">
        <v>15</v>
      </c>
      <c r="F305">
        <v>181.12</v>
      </c>
      <c r="G305">
        <v>5</v>
      </c>
      <c r="H305" s="2">
        <v>0.33</v>
      </c>
      <c r="I305">
        <v>454.09</v>
      </c>
      <c r="J305">
        <v>2</v>
      </c>
      <c r="K305" s="2">
        <v>0.09</v>
      </c>
    </row>
    <row r="306" spans="1:11" x14ac:dyDescent="0.25">
      <c r="A306" t="s">
        <v>20</v>
      </c>
      <c r="B306" t="s">
        <v>30</v>
      </c>
      <c r="C306" s="1">
        <v>45627</v>
      </c>
      <c r="D306">
        <v>74</v>
      </c>
      <c r="E306">
        <v>14</v>
      </c>
      <c r="F306">
        <v>508.85</v>
      </c>
      <c r="G306">
        <v>1</v>
      </c>
      <c r="H306" s="2">
        <v>7.0000000000000007E-2</v>
      </c>
      <c r="I306">
        <v>1182.6300000000001</v>
      </c>
      <c r="J306">
        <v>1</v>
      </c>
      <c r="K306" s="2">
        <v>0</v>
      </c>
    </row>
    <row r="307" spans="1:11" x14ac:dyDescent="0.25">
      <c r="A307" t="s">
        <v>21</v>
      </c>
      <c r="B307" t="s">
        <v>30</v>
      </c>
      <c r="C307" s="1">
        <v>45627</v>
      </c>
      <c r="D307">
        <v>21</v>
      </c>
      <c r="E307">
        <v>17</v>
      </c>
      <c r="F307">
        <v>297.83999999999997</v>
      </c>
      <c r="G307">
        <v>1</v>
      </c>
      <c r="H307" s="2">
        <v>0.06</v>
      </c>
      <c r="I307">
        <v>1553.7</v>
      </c>
      <c r="J307">
        <v>1</v>
      </c>
      <c r="K307" s="2">
        <v>0.05</v>
      </c>
    </row>
    <row r="308" spans="1:11" x14ac:dyDescent="0.25">
      <c r="A308" t="s">
        <v>22</v>
      </c>
      <c r="B308" t="s">
        <v>30</v>
      </c>
      <c r="C308" s="1">
        <v>45627</v>
      </c>
      <c r="D308">
        <v>94</v>
      </c>
      <c r="E308">
        <v>6</v>
      </c>
      <c r="F308">
        <v>537.26</v>
      </c>
      <c r="G308">
        <v>1</v>
      </c>
      <c r="H308" s="2">
        <v>0.17</v>
      </c>
      <c r="I308">
        <v>3665.55</v>
      </c>
      <c r="J308">
        <v>3</v>
      </c>
      <c r="K308" s="2">
        <v>0.03</v>
      </c>
    </row>
    <row r="309" spans="1:11" x14ac:dyDescent="0.25">
      <c r="A309" t="s">
        <v>23</v>
      </c>
      <c r="B309" t="s">
        <v>30</v>
      </c>
      <c r="C309" s="1">
        <v>45627</v>
      </c>
      <c r="D309">
        <v>83</v>
      </c>
      <c r="E309">
        <v>9</v>
      </c>
      <c r="F309">
        <v>188.49</v>
      </c>
      <c r="G309">
        <v>7</v>
      </c>
      <c r="H309" s="2">
        <v>0.78</v>
      </c>
      <c r="I309">
        <v>545.09</v>
      </c>
      <c r="J309">
        <v>2</v>
      </c>
      <c r="K309" s="2">
        <v>0.09</v>
      </c>
    </row>
    <row r="310" spans="1:11" x14ac:dyDescent="0.25">
      <c r="A310" t="s">
        <v>24</v>
      </c>
      <c r="B310" t="s">
        <v>30</v>
      </c>
      <c r="C310" s="1">
        <v>45627</v>
      </c>
      <c r="D310">
        <v>84</v>
      </c>
      <c r="E310">
        <v>14</v>
      </c>
      <c r="F310">
        <v>370.36</v>
      </c>
      <c r="G310">
        <v>0</v>
      </c>
      <c r="H310" s="2">
        <v>0</v>
      </c>
      <c r="I310">
        <v>2605.02</v>
      </c>
      <c r="J310">
        <v>1</v>
      </c>
      <c r="K310" s="2">
        <v>0.03</v>
      </c>
    </row>
    <row r="311" spans="1:11" x14ac:dyDescent="0.25">
      <c r="A311" t="s">
        <v>26</v>
      </c>
      <c r="B311" t="s">
        <v>30</v>
      </c>
      <c r="C311" s="1">
        <v>45627</v>
      </c>
      <c r="D311">
        <v>32</v>
      </c>
      <c r="E311">
        <v>10</v>
      </c>
      <c r="F311">
        <v>500.83</v>
      </c>
      <c r="G311">
        <v>4</v>
      </c>
      <c r="H311" s="2">
        <v>0.4</v>
      </c>
      <c r="I311">
        <v>239.13</v>
      </c>
      <c r="J311">
        <v>3</v>
      </c>
      <c r="K311" s="2">
        <v>0.06</v>
      </c>
    </row>
    <row r="312" spans="1:11" x14ac:dyDescent="0.25">
      <c r="A312" t="s">
        <v>27</v>
      </c>
      <c r="B312" t="s">
        <v>30</v>
      </c>
      <c r="C312" s="1">
        <v>45627</v>
      </c>
      <c r="D312">
        <v>39</v>
      </c>
      <c r="E312">
        <v>15</v>
      </c>
      <c r="F312">
        <v>319.08999999999997</v>
      </c>
      <c r="G312">
        <v>7</v>
      </c>
      <c r="H312" s="2">
        <v>0.47</v>
      </c>
      <c r="I312">
        <v>4573.5</v>
      </c>
      <c r="J312">
        <v>2</v>
      </c>
      <c r="K312" s="2">
        <v>0.08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Calculation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Sakib Gazi</dc:creator>
  <cp:lastModifiedBy>Sakib Gazi</cp:lastModifiedBy>
  <dcterms:created xsi:type="dcterms:W3CDTF">2026-01-28T16:46:01Z</dcterms:created>
  <dcterms:modified xsi:type="dcterms:W3CDTF">2026-01-29T04:49:57Z</dcterms:modified>
</cp:coreProperties>
</file>